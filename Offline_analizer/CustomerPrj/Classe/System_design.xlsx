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adas_hil_platform\Platform\Classe\"/>
    </mc:Choice>
  </mc:AlternateContent>
  <xr:revisionPtr revIDLastSave="0" documentId="13_ncr:1_{5EBA884D-09EB-487C-B471-D703AD4524DE}" xr6:coauthVersionLast="47" xr6:coauthVersionMax="47" xr10:uidLastSave="{00000000-0000-0000-0000-000000000000}"/>
  <bookViews>
    <workbookView xWindow="28680" yWindow="-120" windowWidth="29040" windowHeight="15840" tabRatio="766" activeTab="5" xr2:uid="{00000000-000D-0000-FFFF-FFFF00000000}"/>
  </bookViews>
  <sheets>
    <sheet name="CommProtocols" sheetId="36" r:id="rId1"/>
    <sheet name="FunctionSysInt" sheetId="34" r:id="rId2"/>
    <sheet name="NetworkL2SysTest" sheetId="35" r:id="rId3"/>
    <sheet name="TrSignSimConcept" sheetId="37" r:id="rId4"/>
    <sheet name="TrSignSimPanel" sheetId="38" r:id="rId5"/>
    <sheet name="SysIntCatalog" sheetId="39" r:id="rId6"/>
    <sheet name="AEB sysint" sheetId="4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9" i="36" l="1"/>
  <c r="D38" i="36"/>
  <c r="D37" i="36"/>
  <c r="C36" i="36"/>
  <c r="C35" i="36"/>
  <c r="C34" i="36"/>
  <c r="C33" i="36"/>
  <c r="C32" i="36"/>
  <c r="C31" i="36"/>
  <c r="C30" i="36"/>
  <c r="C29" i="36"/>
  <c r="C28" i="36"/>
  <c r="C27" i="36"/>
  <c r="B14" i="36"/>
  <c r="B13" i="36"/>
  <c r="B12" i="36"/>
  <c r="C11" i="36"/>
  <c r="B11" i="36"/>
  <c r="C10" i="36"/>
  <c r="B10" i="36"/>
  <c r="B9" i="36"/>
  <c r="C8" i="36"/>
  <c r="B8" i="36" s="1"/>
  <c r="C7" i="36"/>
  <c r="B7" i="36"/>
  <c r="C6" i="36"/>
  <c r="B6" i="36"/>
  <c r="C5" i="36"/>
  <c r="B5" i="36" s="1"/>
  <c r="C4" i="36"/>
  <c r="B4" i="36"/>
  <c r="C3" i="36"/>
  <c r="B2" i="36"/>
  <c r="B16" i="36" s="1"/>
  <c r="C41" i="36" l="1"/>
  <c r="D41" i="36"/>
  <c r="B17" i="3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Herrera Rafael (XC-DA/EDI2)</author>
  </authors>
  <commentList>
    <comment ref="A3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Herrera Rafael (XC-DA/EDI2):</t>
        </r>
        <r>
          <rPr>
            <sz val="9"/>
            <color indexed="81"/>
            <rFont val="Tahoma"/>
            <charset val="1"/>
          </rPr>
          <t xml:space="preserve">
Current status is 4 objs from VTD-Cloe is benchmark</t>
        </r>
      </text>
    </comment>
  </commentList>
</comments>
</file>

<file path=xl/sharedStrings.xml><?xml version="1.0" encoding="utf-8"?>
<sst xmlns="http://schemas.openxmlformats.org/spreadsheetml/2006/main" count="757" uniqueCount="288">
  <si>
    <t>Cloe</t>
  </si>
  <si>
    <t>Cartesian coordinates for comfort functions</t>
  </si>
  <si>
    <t>Polar coordinates for safety functions</t>
  </si>
  <si>
    <t>Stubs are useful for autonomous driving  path decision making.</t>
  </si>
  <si>
    <t>Comments</t>
  </si>
  <si>
    <t xml:space="preserve">Yaw Angle </t>
  </si>
  <si>
    <t>Dwidth</t>
  </si>
  <si>
    <t>Dlength</t>
  </si>
  <si>
    <t>Dz</t>
  </si>
  <si>
    <t>Ay</t>
  </si>
  <si>
    <t>Vy</t>
  </si>
  <si>
    <t>Dy</t>
  </si>
  <si>
    <t>Ax</t>
  </si>
  <si>
    <t>Vx</t>
  </si>
  <si>
    <t>Dx</t>
  </si>
  <si>
    <t>Classe</t>
  </si>
  <si>
    <t>Traffic Signs Map</t>
  </si>
  <si>
    <t>Traffic Signs Video</t>
  </si>
  <si>
    <t>Objects Video 3D</t>
  </si>
  <si>
    <t>Objects Video 2D</t>
  </si>
  <si>
    <t>Locations Cradar RL, RR</t>
  </si>
  <si>
    <t>Objects Cradar RL, RR</t>
  </si>
  <si>
    <t>Locations Cradar FL, FR</t>
  </si>
  <si>
    <t>Objects Cradar FL, FR</t>
  </si>
  <si>
    <t>Locations FRadar</t>
  </si>
  <si>
    <t>Objects FRadar</t>
  </si>
  <si>
    <t>Video Lines</t>
  </si>
  <si>
    <t>Map Stubs (paths)</t>
  </si>
  <si>
    <t>Map Curvature Lanes</t>
  </si>
  <si>
    <t>Map Position &amp; Road type</t>
  </si>
  <si>
    <t>Ego Vehicle Model</t>
  </si>
  <si>
    <r>
      <rPr>
        <sz val="8"/>
        <rFont val="Arial"/>
        <family val="2"/>
      </rPr>
      <t>Cloe = Function test</t>
    </r>
    <r>
      <rPr>
        <sz val="8"/>
        <color theme="1"/>
        <rFont val="Arial"/>
        <family val="2"/>
      </rPr>
      <t xml:space="preserve">
</t>
    </r>
    <r>
      <rPr>
        <sz val="8"/>
        <rFont val="Arial"/>
        <family val="2"/>
      </rPr>
      <t>Classe= SysInt and Network test</t>
    </r>
  </si>
  <si>
    <t>not available</t>
  </si>
  <si>
    <t>stimulated over the bus (simulation)</t>
  </si>
  <si>
    <t>stimulated through injection (real ECU)</t>
  </si>
  <si>
    <t>Objects USS</t>
  </si>
  <si>
    <t>stimulated through injection or over the bus (real ECU or simulated ECU)</t>
  </si>
  <si>
    <t>Driver Monitoring Camera</t>
  </si>
  <si>
    <t>Reset tests</t>
  </si>
  <si>
    <t>ECU1</t>
  </si>
  <si>
    <t>ECU2</t>
  </si>
  <si>
    <t>ECU3</t>
  </si>
  <si>
    <t>ECU4</t>
  </si>
  <si>
    <t>ECU5</t>
  </si>
  <si>
    <t>Reset recovery time</t>
  </si>
  <si>
    <t>X ms</t>
  </si>
  <si>
    <t>Communication tests</t>
  </si>
  <si>
    <t>Power Mode tests</t>
  </si>
  <si>
    <t>Voltage tests</t>
  </si>
  <si>
    <t>X V</t>
  </si>
  <si>
    <t>Expected DTC</t>
  </si>
  <si>
    <t>abc</t>
  </si>
  <si>
    <t>Undervoltage lvl high2Low</t>
  </si>
  <si>
    <t>Undervoltage lvl low2High</t>
  </si>
  <si>
    <t>Overvoltage lvl high2Low</t>
  </si>
  <si>
    <t>Overvoltage lvl low2High</t>
  </si>
  <si>
    <t>xyz</t>
  </si>
  <si>
    <t>Ignition OFF</t>
  </si>
  <si>
    <t>Key On</t>
  </si>
  <si>
    <t>Ignition ON</t>
  </si>
  <si>
    <t>Cranking</t>
  </si>
  <si>
    <t>Engine running</t>
  </si>
  <si>
    <t>System Reaction</t>
  </si>
  <si>
    <t>Network Wakeup frames</t>
  </si>
  <si>
    <t>No DTC</t>
  </si>
  <si>
    <t>KL30</t>
  </si>
  <si>
    <t>KL15</t>
  </si>
  <si>
    <t>x</t>
  </si>
  <si>
    <t>o</t>
  </si>
  <si>
    <t>Measured PDU</t>
  </si>
  <si>
    <t>PDU1</t>
  </si>
  <si>
    <t>PDU2</t>
  </si>
  <si>
    <t>PDU3</t>
  </si>
  <si>
    <t>PDU4</t>
  </si>
  <si>
    <t>PDU5</t>
  </si>
  <si>
    <t>PDU cycle time</t>
  </si>
  <si>
    <t>ECU comm matrix fasted monitored frame</t>
  </si>
  <si>
    <t>BUS 1</t>
  </si>
  <si>
    <t>BUS 2</t>
  </si>
  <si>
    <t>System reaction</t>
  </si>
  <si>
    <t>abc DTC</t>
  </si>
  <si>
    <t>no DTC</t>
  </si>
  <si>
    <t>Failure injection</t>
  </si>
  <si>
    <t>Signal</t>
  </si>
  <si>
    <t>PDU</t>
  </si>
  <si>
    <t>Sys react x</t>
  </si>
  <si>
    <t>Example test catalog Spec RQM</t>
  </si>
  <si>
    <t>Test Plan: 2645: Draft_MultiECUHIL_DTCTF_TestCatalog - Quality Management (bosch.com)</t>
  </si>
  <si>
    <t>Example test catalog implementation Vtstudio</t>
  </si>
  <si>
    <t>Browse PJPH / TEST_vTESTstudio_MultiECU_HIL - Source Code 01 (bosch.com)</t>
  </si>
  <si>
    <t>Near range cameras</t>
  </si>
  <si>
    <t>JLRMY2X - 9. Design Decisions - JLR SoS ReApps - Docupedia (bosch.com)</t>
  </si>
  <si>
    <t>Sys Arch</t>
  </si>
  <si>
    <t>add 2step fusion</t>
  </si>
  <si>
    <t>FDX</t>
  </si>
  <si>
    <t>Worst case</t>
  </si>
  <si>
    <t>Cyclic FDX_in signals</t>
  </si>
  <si>
    <t>Event FDX_in signals</t>
  </si>
  <si>
    <t>Cyclic FDX_out signals</t>
  </si>
  <si>
    <t>Event FDX_out signals</t>
  </si>
  <si>
    <t>Vehicle model</t>
  </si>
  <si>
    <t>5xRadar 10xobjects (12 signals)</t>
  </si>
  <si>
    <t>5xRadar 170xlocations (5 signals)</t>
  </si>
  <si>
    <t>Video 10xobjects (12 signals)</t>
  </si>
  <si>
    <t>Video 8xsegments (5 signals)</t>
  </si>
  <si>
    <t>Video 8xseg with 7xPoints each (5 signals)</t>
  </si>
  <si>
    <t>Video 10xtraffic signs (30 signals)</t>
  </si>
  <si>
    <t>Map adasis (80 signals)</t>
  </si>
  <si>
    <t>USS 10xobj front and 10xobj rear (12 signals)</t>
  </si>
  <si>
    <t>NRC 20xobjects (12 signals)</t>
  </si>
  <si>
    <t>DMC 20 signals</t>
  </si>
  <si>
    <t>Restbus (diag, conditional responses)</t>
  </si>
  <si>
    <t>Test triggers</t>
  </si>
  <si>
    <t>Estimation double signals with radar locations</t>
  </si>
  <si>
    <t>Estimation double signals with radar objects</t>
  </si>
  <si>
    <t>Optimization otions</t>
  </si>
  <si>
    <t>Optimize datatype Double to int, int/etc</t>
  </si>
  <si>
    <t>done for objects</t>
  </si>
  <si>
    <t>Optimize location sending from canoe dll</t>
  </si>
  <si>
    <t>locations library not available</t>
  </si>
  <si>
    <t>MultiCANoe</t>
  </si>
  <si>
    <t>not applicable more investment</t>
  </si>
  <si>
    <t>Reorganize signals to bigger objects</t>
  </si>
  <si>
    <t>XCP</t>
  </si>
  <si>
    <t>XCP STIM injection</t>
  </si>
  <si>
    <t>XCP DAQ</t>
  </si>
  <si>
    <t>Front Radar (or Dasy) 16xobj (100 bytes)</t>
  </si>
  <si>
    <t>Corner Radar FL 16xobj (100 bytes)</t>
  </si>
  <si>
    <t>Corner Radar FR 16xobj (100 bytes)</t>
  </si>
  <si>
    <t>Corner Radar RR 16xobj (100 bytes)</t>
  </si>
  <si>
    <t>Corner Radar RL 16xobj (100 bytes)</t>
  </si>
  <si>
    <t>Front Radar (or Dasy) 170xlocations (20 bytes)</t>
  </si>
  <si>
    <t>Corner Radar FL 170xlocations (20 bytes)</t>
  </si>
  <si>
    <t>Corner Radar FR 170xlocations (20 bytes)</t>
  </si>
  <si>
    <t>Corner Radar RR 170xlocations (20 bytes)</t>
  </si>
  <si>
    <t>Corner Radar RL 170xlocations (20 bytes)</t>
  </si>
  <si>
    <t>Parameters 100 (4bytes)</t>
  </si>
  <si>
    <t>Checks 800 (4bytes)</t>
  </si>
  <si>
    <t>Debug interfaces SysInt 100 (4bytes)</t>
  </si>
  <si>
    <t>Estimation limited feature slave (CANoe)</t>
  </si>
  <si>
    <t>Sign offset (ahead the vehicle)</t>
  </si>
  <si>
    <t>Sign location : left</t>
  </si>
  <si>
    <t>Source : Video</t>
  </si>
  <si>
    <t>Source : Map</t>
  </si>
  <si>
    <t>Sign location : overhead</t>
  </si>
  <si>
    <t>Additional sign</t>
  </si>
  <si>
    <t>Sign location : right</t>
  </si>
  <si>
    <t>Lane ID of Tr Sign</t>
  </si>
  <si>
    <t>Time condition</t>
  </si>
  <si>
    <t>Tr Sign ID 1</t>
  </si>
  <si>
    <t>Tr Sign ID 2</t>
  </si>
  <si>
    <t>Tr Sign ID 3</t>
  </si>
  <si>
    <t>Tr Sign ID 4</t>
  </si>
  <si>
    <t>Tr Sign ID 5</t>
  </si>
  <si>
    <t>Sign type (global) &amp; Sign type (effective)</t>
  </si>
  <si>
    <t>Traffic sign ID</t>
  </si>
  <si>
    <t>Simulated distance (max distance signs simulated ahead the vehicle)</t>
  </si>
  <si>
    <t>Traffic Sign</t>
  </si>
  <si>
    <t>Simulated traffic signs</t>
  </si>
  <si>
    <t>read/write</t>
  </si>
  <si>
    <t>Sign offset (ahead the vihicle)</t>
  </si>
  <si>
    <t>Sign type</t>
  </si>
  <si>
    <t>Source (Video/map)</t>
  </si>
  <si>
    <t>Sign offset</t>
  </si>
  <si>
    <t>Sign type (global)</t>
  </si>
  <si>
    <t>read/write drop-down</t>
  </si>
  <si>
    <t>read only</t>
  </si>
  <si>
    <t>Sign type (effective)</t>
  </si>
  <si>
    <t>SL unit (kph / mph)</t>
  </si>
  <si>
    <t>Sign location (default / (position: left / right / overhead))</t>
  </si>
  <si>
    <t>Time condition (no time condition, defined time)</t>
  </si>
  <si>
    <t>Tr Sign ID 6</t>
  </si>
  <si>
    <t>Tr Sign ID 7</t>
  </si>
  <si>
    <t>Tr Sign ID 8</t>
  </si>
  <si>
    <t>Active</t>
  </si>
  <si>
    <t>checkbox</t>
  </si>
  <si>
    <t>Simulation settings</t>
  </si>
  <si>
    <t>Simulated distance</t>
  </si>
  <si>
    <t>Simulation state</t>
  </si>
  <si>
    <t>Video</t>
  </si>
  <si>
    <t>Map</t>
  </si>
  <si>
    <t>Simulationc ON / OFF</t>
  </si>
  <si>
    <t>switch</t>
  </si>
  <si>
    <t>Add / Edit (button)</t>
  </si>
  <si>
    <t>Delete (button)</t>
  </si>
  <si>
    <t>Clear All (button)</t>
  </si>
  <si>
    <t>Vehicle position</t>
  </si>
  <si>
    <t>Current Time</t>
  </si>
  <si>
    <t>Initial design</t>
  </si>
  <si>
    <t>Final design</t>
  </si>
  <si>
    <t>Flashing</t>
  </si>
  <si>
    <t>Project OD</t>
  </si>
  <si>
    <t>Radar RPC</t>
  </si>
  <si>
    <t>Dasy DPC</t>
  </si>
  <si>
    <t>Use cases</t>
  </si>
  <si>
    <t>a2l consistency (STIM)</t>
  </si>
  <si>
    <t>1R</t>
  </si>
  <si>
    <t>1V</t>
  </si>
  <si>
    <t>1R1V</t>
  </si>
  <si>
    <t>Enables</t>
  </si>
  <si>
    <t>Project PSA CDPO</t>
  </si>
  <si>
    <t>Variant a: CDPO</t>
  </si>
  <si>
    <t>Variant b: DPEO</t>
  </si>
  <si>
    <t>golf</t>
  </si>
  <si>
    <t>P62</t>
  </si>
  <si>
    <t>C30</t>
  </si>
  <si>
    <t>object bypassing</t>
  </si>
  <si>
    <t xml:space="preserve">       --&gt;Variant</t>
  </si>
  <si>
    <t xml:space="preserve">       --&gt;Vehicle Cal</t>
  </si>
  <si>
    <t xml:space="preserve">       --&gt;Sensor set</t>
  </si>
  <si>
    <t>MultiECU testing, flashing</t>
  </si>
  <si>
    <t>Flashing over lauterbach</t>
  </si>
  <si>
    <t>CUS flashing - n/a L3 scope</t>
  </si>
  <si>
    <t>BSW testing - n/a L3 scope</t>
  </si>
  <si>
    <t>Vehicle flashing, L2, L3 sys testing</t>
  </si>
  <si>
    <t>Flashing over Canape hex files</t>
  </si>
  <si>
    <t>Flashing over Canape CUS BTC container</t>
  </si>
  <si>
    <t>CUS flashing in vehicle</t>
  </si>
  <si>
    <t>Flashing over Diag</t>
  </si>
  <si>
    <t>Flashing over Diag CUS tool</t>
  </si>
  <si>
    <t>Slave multiECU flashing (i.e. corner radars)</t>
  </si>
  <si>
    <t>python</t>
  </si>
  <si>
    <t>VTest Studio</t>
  </si>
  <si>
    <t>CUS tool</t>
  </si>
  <si>
    <t>Diag</t>
  </si>
  <si>
    <t>Read and Clear DTCs</t>
  </si>
  <si>
    <t>Diagnostic coding</t>
  </si>
  <si>
    <t>DTC/ITC masking</t>
  </si>
  <si>
    <t>CAN, Eth bus load</t>
  </si>
  <si>
    <t>System testing - redundant from SW int?</t>
  </si>
  <si>
    <t>Sys Test ASW BSW</t>
  </si>
  <si>
    <t>Bypassing sequence running</t>
  </si>
  <si>
    <t>Sys Test ASW</t>
  </si>
  <si>
    <t>Check current consumption avg and peak</t>
  </si>
  <si>
    <t>Wakeup time of ECU</t>
  </si>
  <si>
    <t>Power up</t>
  </si>
  <si>
    <t>PER HVM</t>
  </si>
  <si>
    <t>PER FUS</t>
  </si>
  <si>
    <t>SIT FCT Long</t>
  </si>
  <si>
    <t>SIT FCT Lat</t>
  </si>
  <si>
    <t>SIT FCT LongLat</t>
  </si>
  <si>
    <t>SIT FCT TSR</t>
  </si>
  <si>
    <t>Worst load case</t>
  </si>
  <si>
    <t>Fusion</t>
  </si>
  <si>
    <t>Object coming, going moving left right (check addiitonalsensassoc for fusion)</t>
  </si>
  <si>
    <t>Time sync Bus signals</t>
  </si>
  <si>
    <t xml:space="preserve">Target </t>
  </si>
  <si>
    <t>Ego</t>
  </si>
  <si>
    <t>Radar</t>
  </si>
  <si>
    <t>Comment</t>
  </si>
  <si>
    <t xml:space="preserve">Scenario NCAP </t>
  </si>
  <si>
    <t>&gt;25kph delta speed</t>
  </si>
  <si>
    <t>vx 20</t>
  </si>
  <si>
    <t>speed reduction</t>
  </si>
  <si>
    <t>fct_x_tiplLongFullBrakeConfig CAR in front of ego, same lane</t>
  </si>
  <si>
    <t>Full brake</t>
  </si>
  <si>
    <t>&lt;15kph delta speed</t>
  </si>
  <si>
    <t>vx 0</t>
  </si>
  <si>
    <t>vx -20</t>
  </si>
  <si>
    <t>fct_x_tiplOncomingFullBrakeConfig_aeb CAR coming towards ego</t>
  </si>
  <si>
    <t>vx -5</t>
  </si>
  <si>
    <t>vy +5kph</t>
  </si>
  <si>
    <t>fct_x_cfmFullBrakeConfig - PED target cross</t>
  </si>
  <si>
    <t>fct_x_tiplTurnFullBrakeConfig - CAR CYC truning n/a</t>
  </si>
  <si>
    <t>fct_x_tixlFullBrakeConfig - n/a</t>
  </si>
  <si>
    <t>AEB SysInt  test with CANoe trace</t>
  </si>
  <si>
    <t>AEB SysInt  test</t>
  </si>
  <si>
    <t>ACC SysInt  test</t>
  </si>
  <si>
    <t>NCAP Long Emer function, Evald for Sys Test ASW</t>
  </si>
  <si>
    <t>NCAP Long Emer function</t>
  </si>
  <si>
    <t>NCAP Long Comf function, Evald for Sys Test ASW</t>
  </si>
  <si>
    <t>NCAP Long Comf function</t>
  </si>
  <si>
    <t>AEB SysInt  test with CANoe and CANape trace</t>
  </si>
  <si>
    <t>FDX comm, Runtime</t>
  </si>
  <si>
    <t>Bus load, Runtime</t>
  </si>
  <si>
    <t>VTest Studio, Python</t>
  </si>
  <si>
    <t>Check remote connection to PS EA</t>
  </si>
  <si>
    <t>Sys Test ASW BSW - n/a L3 scope</t>
  </si>
  <si>
    <t>Lat movement to left and right (yaw rate, swa, curvature, oos)</t>
  </si>
  <si>
    <t>Long movement (speeds, wics, mov dir, gear, oos)</t>
  </si>
  <si>
    <t>Sys Test ASW, MT</t>
  </si>
  <si>
    <t>Defect creation Sys Test ASW, MT</t>
  </si>
  <si>
    <t>Input</t>
  </si>
  <si>
    <t>BSW</t>
  </si>
  <si>
    <t>CUS</t>
  </si>
  <si>
    <t>Sys test BSW - n/a tested on L3</t>
  </si>
  <si>
    <t>DUT c10 sequence counter running</t>
  </si>
  <si>
    <t>Environment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</si>
</sst>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theme="1"/>
      <name val="Arial"/>
      <family val="2"/>
    </font>
    <font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u/>
      <sz val="10"/>
      <color theme="1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sz val="8"/>
      <color theme="0"/>
      <name val="Arial"/>
      <family val="2"/>
    </font>
    <font>
      <sz val="10"/>
      <color rgb="FFFF0000"/>
      <name val="Arial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0" tint="-0.499984740745262"/>
      <name val="Arial"/>
      <family val="2"/>
      <charset val="238"/>
    </font>
    <font>
      <sz val="10"/>
      <color theme="0" tint="-0.249977111117893"/>
      <name val="Arial"/>
      <family val="2"/>
      <charset val="238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2" fillId="0" borderId="0"/>
  </cellStyleXfs>
  <cellXfs count="66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0" borderId="0" xfId="0" applyFill="1"/>
    <xf numFmtId="0" fontId="3" fillId="0" borderId="0" xfId="1"/>
    <xf numFmtId="0" fontId="0" fillId="3" borderId="0" xfId="0" applyFill="1"/>
    <xf numFmtId="0" fontId="0" fillId="4" borderId="0" xfId="0" applyFill="1" applyAlignment="1">
      <alignment wrapText="1"/>
    </xf>
    <xf numFmtId="0" fontId="4" fillId="0" borderId="0" xfId="0" applyFont="1" applyAlignment="1">
      <alignment wrapText="1"/>
    </xf>
    <xf numFmtId="0" fontId="4" fillId="4" borderId="0" xfId="0" applyFont="1" applyFill="1" applyAlignment="1">
      <alignment wrapText="1"/>
    </xf>
    <xf numFmtId="0" fontId="4" fillId="4" borderId="0" xfId="0" applyFont="1" applyFill="1" applyAlignment="1">
      <alignment horizontal="left" wrapText="1"/>
    </xf>
    <xf numFmtId="0" fontId="0" fillId="4" borderId="0" xfId="0" applyFill="1" applyBorder="1" applyAlignment="1">
      <alignment horizontal="center" wrapText="1"/>
    </xf>
    <xf numFmtId="0" fontId="4" fillId="4" borderId="1" xfId="0" applyFont="1" applyFill="1" applyBorder="1" applyAlignment="1">
      <alignment wrapText="1"/>
    </xf>
    <xf numFmtId="0" fontId="4" fillId="5" borderId="0" xfId="0" applyFont="1" applyFill="1" applyAlignment="1">
      <alignment wrapText="1"/>
    </xf>
    <xf numFmtId="0" fontId="4" fillId="7" borderId="0" xfId="0" applyFont="1" applyFill="1" applyAlignment="1">
      <alignment wrapText="1"/>
    </xf>
    <xf numFmtId="0" fontId="4" fillId="8" borderId="0" xfId="0" applyFont="1" applyFill="1" applyAlignment="1">
      <alignment wrapText="1"/>
    </xf>
    <xf numFmtId="0" fontId="6" fillId="9" borderId="0" xfId="0" applyFont="1" applyFill="1" applyAlignment="1">
      <alignment wrapText="1"/>
    </xf>
    <xf numFmtId="0" fontId="0" fillId="0" borderId="0" xfId="0" applyBorder="1"/>
    <xf numFmtId="0" fontId="0" fillId="10" borderId="0" xfId="0" applyFill="1" applyBorder="1"/>
    <xf numFmtId="0" fontId="0" fillId="0" borderId="0" xfId="0" applyFill="1" applyBorder="1"/>
    <xf numFmtId="0" fontId="0" fillId="6" borderId="0" xfId="0" applyFill="1"/>
    <xf numFmtId="0" fontId="7" fillId="4" borderId="0" xfId="0" applyFont="1" applyFill="1" applyAlignment="1">
      <alignment wrapText="1"/>
    </xf>
    <xf numFmtId="0" fontId="0" fillId="11" borderId="0" xfId="0" applyFill="1"/>
    <xf numFmtId="0" fontId="2" fillId="0" borderId="0" xfId="2"/>
    <xf numFmtId="0" fontId="2" fillId="12" borderId="0" xfId="2" applyFill="1"/>
    <xf numFmtId="0" fontId="2" fillId="13" borderId="4" xfId="2" applyFill="1" applyBorder="1"/>
    <xf numFmtId="0" fontId="2" fillId="14" borderId="5" xfId="2" applyFill="1" applyBorder="1"/>
    <xf numFmtId="0" fontId="2" fillId="14" borderId="6" xfId="2" applyFill="1" applyBorder="1"/>
    <xf numFmtId="0" fontId="2" fillId="14" borderId="7" xfId="2" applyFill="1" applyBorder="1"/>
    <xf numFmtId="0" fontId="2" fillId="14" borderId="8" xfId="2" applyFill="1" applyBorder="1"/>
    <xf numFmtId="0" fontId="2" fillId="14" borderId="9" xfId="2" applyFill="1" applyBorder="1"/>
    <xf numFmtId="0" fontId="2" fillId="14" borderId="10" xfId="2" applyFill="1" applyBorder="1"/>
    <xf numFmtId="0" fontId="2" fillId="13" borderId="11" xfId="2" applyFill="1" applyBorder="1"/>
    <xf numFmtId="0" fontId="2" fillId="15" borderId="12" xfId="2" applyFill="1" applyBorder="1"/>
    <xf numFmtId="0" fontId="2" fillId="15" borderId="13" xfId="2" applyFill="1" applyBorder="1"/>
    <xf numFmtId="0" fontId="2" fillId="15" borderId="14" xfId="2" applyFill="1" applyBorder="1"/>
    <xf numFmtId="0" fontId="2" fillId="15" borderId="15" xfId="2" applyFill="1" applyBorder="1"/>
    <xf numFmtId="0" fontId="10" fillId="12" borderId="0" xfId="2" applyFont="1" applyFill="1"/>
    <xf numFmtId="0" fontId="2" fillId="15" borderId="0" xfId="2" applyFill="1"/>
    <xf numFmtId="0" fontId="2" fillId="15" borderId="16" xfId="2" applyFill="1" applyBorder="1"/>
    <xf numFmtId="0" fontId="11" fillId="12" borderId="0" xfId="2" applyFont="1" applyFill="1"/>
    <xf numFmtId="0" fontId="2" fillId="12" borderId="0" xfId="2" applyFill="1" applyAlignment="1">
      <alignment wrapText="1"/>
    </xf>
    <xf numFmtId="0" fontId="2" fillId="0" borderId="1" xfId="2" applyBorder="1"/>
    <xf numFmtId="0" fontId="12" fillId="12" borderId="0" xfId="2" applyFont="1" applyFill="1"/>
    <xf numFmtId="0" fontId="13" fillId="0" borderId="1" xfId="2" applyFont="1" applyBorder="1"/>
    <xf numFmtId="0" fontId="2" fillId="16" borderId="1" xfId="2" applyFill="1" applyBorder="1"/>
    <xf numFmtId="0" fontId="2" fillId="15" borderId="17" xfId="2" applyFill="1" applyBorder="1"/>
    <xf numFmtId="0" fontId="2" fillId="15" borderId="18" xfId="2" applyFill="1" applyBorder="1"/>
    <xf numFmtId="0" fontId="2" fillId="15" borderId="19" xfId="2" applyFill="1" applyBorder="1"/>
    <xf numFmtId="0" fontId="1" fillId="0" borderId="0" xfId="2" applyFont="1"/>
    <xf numFmtId="0" fontId="10" fillId="0" borderId="0" xfId="2" applyFont="1"/>
    <xf numFmtId="0" fontId="2" fillId="0" borderId="0" xfId="2" applyBorder="1"/>
    <xf numFmtId="0" fontId="1" fillId="0" borderId="0" xfId="2" applyFont="1" applyBorder="1"/>
    <xf numFmtId="0" fontId="0" fillId="0" borderId="0" xfId="0" applyAlignment="1">
      <alignment vertical="center"/>
    </xf>
    <xf numFmtId="0" fontId="0" fillId="17" borderId="0" xfId="0" applyFill="1"/>
    <xf numFmtId="0" fontId="0" fillId="4" borderId="1" xfId="0" applyFill="1" applyBorder="1" applyAlignment="1">
      <alignment horizontal="center" wrapText="1"/>
    </xf>
    <xf numFmtId="0" fontId="4" fillId="4" borderId="0" xfId="0" applyFont="1" applyFill="1" applyAlignment="1">
      <alignment horizontal="left" wrapText="1"/>
    </xf>
    <xf numFmtId="0" fontId="0" fillId="4" borderId="3" xfId="0" applyFill="1" applyBorder="1" applyAlignment="1">
      <alignment horizontal="center" wrapText="1"/>
    </xf>
    <xf numFmtId="0" fontId="0" fillId="4" borderId="2" xfId="0" applyFill="1" applyBorder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6" borderId="0" xfId="0" applyFill="1" applyAlignment="1">
      <alignment horizontal="center"/>
    </xf>
    <xf numFmtId="0" fontId="2" fillId="12" borderId="0" xfId="2" applyFill="1" applyAlignment="1">
      <alignment horizontal="left" wrapText="1"/>
    </xf>
    <xf numFmtId="0" fontId="2" fillId="12" borderId="16" xfId="2" applyFill="1" applyBorder="1" applyAlignment="1">
      <alignment horizontal="left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wrapText="1"/>
    </xf>
  </cellXfs>
  <cellStyles count="3">
    <cellStyle name="Lien hypertexte" xfId="1" builtinId="8"/>
    <cellStyle name="Normal" xfId="0" builtinId="0"/>
    <cellStyle name="Normal 2" xfId="2" xr:uid="{DD337760-85FF-4511-A951-A58DF0053F66}"/>
  </cellStyles>
  <dxfs count="0"/>
  <tableStyles count="0" defaultTableStyle="TableStyleMedium2" defaultPivotStyle="PivotStyleLight16"/>
  <colors>
    <mruColors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634365</xdr:colOff>
      <xdr:row>15</xdr:row>
      <xdr:rowOff>120015</xdr:rowOff>
    </xdr:from>
    <xdr:to>
      <xdr:col>8</xdr:col>
      <xdr:colOff>230362</xdr:colOff>
      <xdr:row>44</xdr:row>
      <xdr:rowOff>125729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066A957-0158-49C6-94C0-44F432C08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1440" y="2691765"/>
          <a:ext cx="3663172" cy="4977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30480</xdr:colOff>
      <xdr:row>7</xdr:row>
      <xdr:rowOff>358140</xdr:rowOff>
    </xdr:from>
    <xdr:to>
      <xdr:col>24</xdr:col>
      <xdr:colOff>35590</xdr:colOff>
      <xdr:row>8</xdr:row>
      <xdr:rowOff>451430</xdr:rowOff>
    </xdr:to>
    <xdr:cxnSp macro="">
      <xdr:nvCxnSpPr>
        <xdr:cNvPr id="93" name="Straight Connector 26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CxnSpPr/>
      </xdr:nvCxnSpPr>
      <xdr:spPr>
        <a:xfrm flipH="1" flipV="1">
          <a:off x="10515600" y="4221480"/>
          <a:ext cx="5110" cy="596210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114300</xdr:colOff>
      <xdr:row>1</xdr:row>
      <xdr:rowOff>190500</xdr:rowOff>
    </xdr:from>
    <xdr:to>
      <xdr:col>12</xdr:col>
      <xdr:colOff>118927</xdr:colOff>
      <xdr:row>2</xdr:row>
      <xdr:rowOff>295005</xdr:rowOff>
    </xdr:to>
    <xdr:cxnSp macro="">
      <xdr:nvCxnSpPr>
        <xdr:cNvPr id="2" name="Straight Connector 4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 flipH="1" flipV="1">
          <a:off x="7612380" y="335280"/>
          <a:ext cx="4627" cy="165465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40821</xdr:colOff>
      <xdr:row>5</xdr:row>
      <xdr:rowOff>238125</xdr:rowOff>
    </xdr:from>
    <xdr:to>
      <xdr:col>16</xdr:col>
      <xdr:colOff>45720</xdr:colOff>
      <xdr:row>6</xdr:row>
      <xdr:rowOff>205740</xdr:rowOff>
    </xdr:to>
    <xdr:cxnSp macro="">
      <xdr:nvCxnSpPr>
        <xdr:cNvPr id="3" name="Straight Connector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 flipH="1" flipV="1">
          <a:off x="7150281" y="3034665"/>
          <a:ext cx="4899" cy="508635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8</xdr:row>
      <xdr:rowOff>47626</xdr:rowOff>
    </xdr:from>
    <xdr:to>
      <xdr:col>2</xdr:col>
      <xdr:colOff>0</xdr:colOff>
      <xdr:row>9</xdr:row>
      <xdr:rowOff>0</xdr:rowOff>
    </xdr:to>
    <xdr:cxnSp macro="">
      <xdr:nvCxnSpPr>
        <xdr:cNvPr id="4" name="Straight Connector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 flipV="1">
          <a:off x="1249680" y="1388746"/>
          <a:ext cx="0" cy="120014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53340</xdr:colOff>
      <xdr:row>7</xdr:row>
      <xdr:rowOff>297180</xdr:rowOff>
    </xdr:from>
    <xdr:to>
      <xdr:col>17</xdr:col>
      <xdr:colOff>68580</xdr:colOff>
      <xdr:row>8</xdr:row>
      <xdr:rowOff>800100</xdr:rowOff>
    </xdr:to>
    <xdr:cxnSp macro="">
      <xdr:nvCxnSpPr>
        <xdr:cNvPr id="5" name="Straight Connector 3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 flipH="1" flipV="1">
          <a:off x="7650480" y="4160520"/>
          <a:ext cx="15240" cy="1005840"/>
        </a:xfrm>
        <a:prstGeom prst="line">
          <a:avLst/>
        </a:prstGeom>
        <a:ln w="28575">
          <a:solidFill>
            <a:schemeClr val="accent6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794928</xdr:colOff>
      <xdr:row>8</xdr:row>
      <xdr:rowOff>115933</xdr:rowOff>
    </xdr:from>
    <xdr:to>
      <xdr:col>4</xdr:col>
      <xdr:colOff>297179</xdr:colOff>
      <xdr:row>8</xdr:row>
      <xdr:rowOff>358140</xdr:rowOff>
    </xdr:to>
    <xdr:sp macro="" textlink="">
      <xdr:nvSpPr>
        <xdr:cNvPr id="6" name="TextBox 4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627288" y="1457053"/>
          <a:ext cx="2169251" cy="5170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Enables:</a:t>
          </a:r>
          <a:r>
            <a:rPr lang="en-US" sz="800" baseline="0"/>
            <a:t> BSW, CC, SL, FSL</a:t>
          </a:r>
          <a:endParaRPr lang="en-US" sz="800"/>
        </a:p>
      </xdr:txBody>
    </xdr:sp>
    <xdr:clientData/>
  </xdr:twoCellAnchor>
  <xdr:twoCellAnchor>
    <xdr:from>
      <xdr:col>4</xdr:col>
      <xdr:colOff>462643</xdr:colOff>
      <xdr:row>4</xdr:row>
      <xdr:rowOff>401411</xdr:rowOff>
    </xdr:from>
    <xdr:to>
      <xdr:col>40</xdr:col>
      <xdr:colOff>381000</xdr:colOff>
      <xdr:row>4</xdr:row>
      <xdr:rowOff>401411</xdr:rowOff>
    </xdr:to>
    <xdr:cxnSp macro="">
      <xdr:nvCxnSpPr>
        <xdr:cNvPr id="7" name="Straight Connector 5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>
          <a:off x="2962003" y="835751"/>
          <a:ext cx="22412597" cy="0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6</xdr:row>
      <xdr:rowOff>441960</xdr:rowOff>
    </xdr:from>
    <xdr:to>
      <xdr:col>41</xdr:col>
      <xdr:colOff>29936</xdr:colOff>
      <xdr:row>9</xdr:row>
      <xdr:rowOff>5444</xdr:rowOff>
    </xdr:to>
    <xdr:cxnSp macro="">
      <xdr:nvCxnSpPr>
        <xdr:cNvPr id="8" name="Straight Connector 6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 flipH="1" flipV="1">
          <a:off x="17472660" y="3779520"/>
          <a:ext cx="29936" cy="1399904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45720</xdr:colOff>
      <xdr:row>7</xdr:row>
      <xdr:rowOff>312422</xdr:rowOff>
    </xdr:from>
    <xdr:to>
      <xdr:col>35</xdr:col>
      <xdr:colOff>45720</xdr:colOff>
      <xdr:row>7</xdr:row>
      <xdr:rowOff>327660</xdr:rowOff>
    </xdr:to>
    <xdr:cxnSp macro="">
      <xdr:nvCxnSpPr>
        <xdr:cNvPr id="9" name="Straight Connector 7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>
          <a:off x="7642860" y="4175762"/>
          <a:ext cx="7155180" cy="15238"/>
        </a:xfrm>
        <a:prstGeom prst="line">
          <a:avLst/>
        </a:prstGeom>
        <a:ln w="28575">
          <a:solidFill>
            <a:schemeClr val="accent6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24221</xdr:colOff>
      <xdr:row>5</xdr:row>
      <xdr:rowOff>409032</xdr:rowOff>
    </xdr:from>
    <xdr:to>
      <xdr:col>35</xdr:col>
      <xdr:colOff>27094</xdr:colOff>
      <xdr:row>7</xdr:row>
      <xdr:rowOff>41487</xdr:rowOff>
    </xdr:to>
    <xdr:cxnSp macro="">
      <xdr:nvCxnSpPr>
        <xdr:cNvPr id="10" name="Straight Connector 8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 flipH="1" flipV="1">
          <a:off x="21893621" y="1003392"/>
          <a:ext cx="2873" cy="211575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12246</xdr:colOff>
      <xdr:row>8</xdr:row>
      <xdr:rowOff>87086</xdr:rowOff>
    </xdr:from>
    <xdr:to>
      <xdr:col>47</xdr:col>
      <xdr:colOff>12246</xdr:colOff>
      <xdr:row>9</xdr:row>
      <xdr:rowOff>8165</xdr:rowOff>
    </xdr:to>
    <xdr:cxnSp macro="">
      <xdr:nvCxnSpPr>
        <xdr:cNvPr id="11" name="Straight Connector 9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 flipV="1">
          <a:off x="29379726" y="1428206"/>
          <a:ext cx="0" cy="88719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54428</xdr:colOff>
      <xdr:row>8</xdr:row>
      <xdr:rowOff>78924</xdr:rowOff>
    </xdr:from>
    <xdr:to>
      <xdr:col>47</xdr:col>
      <xdr:colOff>16329</xdr:colOff>
      <xdr:row>8</xdr:row>
      <xdr:rowOff>84365</xdr:rowOff>
    </xdr:to>
    <xdr:cxnSp macro="">
      <xdr:nvCxnSpPr>
        <xdr:cNvPr id="12" name="Straight Connector 10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/>
      </xdr:nvCxnSpPr>
      <xdr:spPr>
        <a:xfrm>
          <a:off x="27547388" y="1420044"/>
          <a:ext cx="1836421" cy="5441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131990</xdr:colOff>
      <xdr:row>5</xdr:row>
      <xdr:rowOff>415018</xdr:rowOff>
    </xdr:from>
    <xdr:to>
      <xdr:col>45</xdr:col>
      <xdr:colOff>136071</xdr:colOff>
      <xdr:row>8</xdr:row>
      <xdr:rowOff>73482</xdr:rowOff>
    </xdr:to>
    <xdr:cxnSp macro="">
      <xdr:nvCxnSpPr>
        <xdr:cNvPr id="13" name="Straight Connector 11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CxnSpPr/>
      </xdr:nvCxnSpPr>
      <xdr:spPr>
        <a:xfrm flipV="1">
          <a:off x="28249790" y="1009378"/>
          <a:ext cx="4081" cy="405224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47626</xdr:colOff>
      <xdr:row>8</xdr:row>
      <xdr:rowOff>68038</xdr:rowOff>
    </xdr:from>
    <xdr:to>
      <xdr:col>44</xdr:col>
      <xdr:colOff>60960</xdr:colOff>
      <xdr:row>9</xdr:row>
      <xdr:rowOff>0</xdr:rowOff>
    </xdr:to>
    <xdr:cxnSp macro="">
      <xdr:nvCxnSpPr>
        <xdr:cNvPr id="14" name="Straight Connector 12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CxnSpPr/>
      </xdr:nvCxnSpPr>
      <xdr:spPr>
        <a:xfrm flipH="1" flipV="1">
          <a:off x="18709006" y="4434298"/>
          <a:ext cx="13334" cy="739682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296637</xdr:colOff>
      <xdr:row>7</xdr:row>
      <xdr:rowOff>180430</xdr:rowOff>
    </xdr:from>
    <xdr:to>
      <xdr:col>47</xdr:col>
      <xdr:colOff>129540</xdr:colOff>
      <xdr:row>7</xdr:row>
      <xdr:rowOff>403860</xdr:rowOff>
    </xdr:to>
    <xdr:sp macro="" textlink="">
      <xdr:nvSpPr>
        <xdr:cNvPr id="15" name="TextBox 13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18958017" y="4043770"/>
          <a:ext cx="1014003" cy="22343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aseline="0"/>
            <a:t>Enables eTSR</a:t>
          </a:r>
          <a:endParaRPr lang="en-US" sz="800"/>
        </a:p>
      </xdr:txBody>
    </xdr:sp>
    <xdr:clientData/>
  </xdr:twoCellAnchor>
  <xdr:twoCellAnchor>
    <xdr:from>
      <xdr:col>35</xdr:col>
      <xdr:colOff>7620</xdr:colOff>
      <xdr:row>5</xdr:row>
      <xdr:rowOff>388620</xdr:rowOff>
    </xdr:from>
    <xdr:to>
      <xdr:col>45</xdr:col>
      <xdr:colOff>136071</xdr:colOff>
      <xdr:row>5</xdr:row>
      <xdr:rowOff>408212</xdr:rowOff>
    </xdr:to>
    <xdr:cxnSp macro="">
      <xdr:nvCxnSpPr>
        <xdr:cNvPr id="16" name="Straight Connector 14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CxnSpPr/>
      </xdr:nvCxnSpPr>
      <xdr:spPr>
        <a:xfrm>
          <a:off x="21877020" y="1005840"/>
          <a:ext cx="6376851" cy="0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374196</xdr:colOff>
      <xdr:row>4</xdr:row>
      <xdr:rowOff>415018</xdr:rowOff>
    </xdr:from>
    <xdr:to>
      <xdr:col>40</xdr:col>
      <xdr:colOff>376917</xdr:colOff>
      <xdr:row>5</xdr:row>
      <xdr:rowOff>386446</xdr:rowOff>
    </xdr:to>
    <xdr:cxnSp macro="">
      <xdr:nvCxnSpPr>
        <xdr:cNvPr id="17" name="Straight Connector 15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CxnSpPr/>
      </xdr:nvCxnSpPr>
      <xdr:spPr>
        <a:xfrm flipH="1" flipV="1">
          <a:off x="25367796" y="841738"/>
          <a:ext cx="2721" cy="161928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155123</xdr:colOff>
      <xdr:row>5</xdr:row>
      <xdr:rowOff>12246</xdr:rowOff>
    </xdr:from>
    <xdr:to>
      <xdr:col>41</xdr:col>
      <xdr:colOff>312420</xdr:colOff>
      <xdr:row>5</xdr:row>
      <xdr:rowOff>213359</xdr:rowOff>
    </xdr:to>
    <xdr:sp macro="" textlink="">
      <xdr:nvSpPr>
        <xdr:cNvPr id="18" name="TextBox 16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/>
      </xdr:nvSpPr>
      <xdr:spPr>
        <a:xfrm>
          <a:off x="16873403" y="2808786"/>
          <a:ext cx="911677" cy="2011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aseline="0"/>
            <a:t>Enables ASL</a:t>
          </a:r>
          <a:endParaRPr lang="en-US" sz="800"/>
        </a:p>
      </xdr:txBody>
    </xdr:sp>
    <xdr:clientData/>
  </xdr:twoCellAnchor>
  <xdr:twoCellAnchor>
    <xdr:from>
      <xdr:col>1</xdr:col>
      <xdr:colOff>469447</xdr:colOff>
      <xdr:row>8</xdr:row>
      <xdr:rowOff>34018</xdr:rowOff>
    </xdr:from>
    <xdr:to>
      <xdr:col>13</xdr:col>
      <xdr:colOff>455839</xdr:colOff>
      <xdr:row>8</xdr:row>
      <xdr:rowOff>47625</xdr:rowOff>
    </xdr:to>
    <xdr:cxnSp macro="">
      <xdr:nvCxnSpPr>
        <xdr:cNvPr id="19" name="Straight Connector 17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CxnSpPr/>
      </xdr:nvCxnSpPr>
      <xdr:spPr>
        <a:xfrm>
          <a:off x="1563141" y="4408794"/>
          <a:ext cx="4818369" cy="13607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449036</xdr:colOff>
      <xdr:row>8</xdr:row>
      <xdr:rowOff>59601</xdr:rowOff>
    </xdr:from>
    <xdr:to>
      <xdr:col>13</xdr:col>
      <xdr:colOff>457200</xdr:colOff>
      <xdr:row>9</xdr:row>
      <xdr:rowOff>15240</xdr:rowOff>
    </xdr:to>
    <xdr:cxnSp macro="">
      <xdr:nvCxnSpPr>
        <xdr:cNvPr id="20" name="Straight Connector 18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CxnSpPr/>
      </xdr:nvCxnSpPr>
      <xdr:spPr>
        <a:xfrm flipH="1" flipV="1">
          <a:off x="8571956" y="1400721"/>
          <a:ext cx="8164" cy="123279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34017</xdr:colOff>
      <xdr:row>6</xdr:row>
      <xdr:rowOff>236220</xdr:rowOff>
    </xdr:from>
    <xdr:to>
      <xdr:col>12</xdr:col>
      <xdr:colOff>38100</xdr:colOff>
      <xdr:row>8</xdr:row>
      <xdr:rowOff>43547</xdr:rowOff>
    </xdr:to>
    <xdr:cxnSp macro="">
      <xdr:nvCxnSpPr>
        <xdr:cNvPr id="21" name="Straight Connector 19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CxnSpPr/>
      </xdr:nvCxnSpPr>
      <xdr:spPr>
        <a:xfrm flipV="1">
          <a:off x="5817597" y="3573780"/>
          <a:ext cx="4083" cy="836027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431891</xdr:colOff>
      <xdr:row>7</xdr:row>
      <xdr:rowOff>85455</xdr:rowOff>
    </xdr:from>
    <xdr:to>
      <xdr:col>14</xdr:col>
      <xdr:colOff>243840</xdr:colOff>
      <xdr:row>7</xdr:row>
      <xdr:rowOff>289561</xdr:rowOff>
    </xdr:to>
    <xdr:sp macro="" textlink="">
      <xdr:nvSpPr>
        <xdr:cNvPr id="22" name="TextBox 20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 txBox="1"/>
      </xdr:nvSpPr>
      <xdr:spPr>
        <a:xfrm>
          <a:off x="5240111" y="3948795"/>
          <a:ext cx="1457869" cy="2041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aseline="0"/>
            <a:t>Enables LKA, ELKA-RoadEdge</a:t>
          </a:r>
          <a:endParaRPr lang="en-US" sz="800"/>
        </a:p>
      </xdr:txBody>
    </xdr:sp>
    <xdr:clientData/>
  </xdr:twoCellAnchor>
  <xdr:twoCellAnchor>
    <xdr:from>
      <xdr:col>12</xdr:col>
      <xdr:colOff>5987</xdr:colOff>
      <xdr:row>6</xdr:row>
      <xdr:rowOff>240579</xdr:rowOff>
    </xdr:from>
    <xdr:to>
      <xdr:col>35</xdr:col>
      <xdr:colOff>7620</xdr:colOff>
      <xdr:row>6</xdr:row>
      <xdr:rowOff>266700</xdr:rowOff>
    </xdr:to>
    <xdr:cxnSp macro="">
      <xdr:nvCxnSpPr>
        <xdr:cNvPr id="23" name="Straight Connector 21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CxnSpPr/>
      </xdr:nvCxnSpPr>
      <xdr:spPr>
        <a:xfrm>
          <a:off x="5789567" y="3578139"/>
          <a:ext cx="8970373" cy="26121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171449</xdr:colOff>
      <xdr:row>5</xdr:row>
      <xdr:rowOff>137160</xdr:rowOff>
    </xdr:from>
    <xdr:to>
      <xdr:col>17</xdr:col>
      <xdr:colOff>470807</xdr:colOff>
      <xdr:row>6</xdr:row>
      <xdr:rowOff>75927</xdr:rowOff>
    </xdr:to>
    <xdr:sp macro="" textlink="">
      <xdr:nvSpPr>
        <xdr:cNvPr id="24" name="TextBox 22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 txBox="1"/>
      </xdr:nvSpPr>
      <xdr:spPr>
        <a:xfrm>
          <a:off x="6137909" y="2933700"/>
          <a:ext cx="1930038" cy="479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aseline="0"/>
            <a:t>Enables ELKA-OnComingVehicle, AEB Left Turn Assist, TJA, DCR basic</a:t>
          </a:r>
          <a:endParaRPr lang="en-US" sz="800"/>
        </a:p>
      </xdr:txBody>
    </xdr:sp>
    <xdr:clientData/>
  </xdr:twoCellAnchor>
  <xdr:twoCellAnchor>
    <xdr:from>
      <xdr:col>7</xdr:col>
      <xdr:colOff>421822</xdr:colOff>
      <xdr:row>6</xdr:row>
      <xdr:rowOff>401412</xdr:rowOff>
    </xdr:from>
    <xdr:to>
      <xdr:col>7</xdr:col>
      <xdr:colOff>426720</xdr:colOff>
      <xdr:row>8</xdr:row>
      <xdr:rowOff>685800</xdr:rowOff>
    </xdr:to>
    <xdr:cxnSp macro="">
      <xdr:nvCxnSpPr>
        <xdr:cNvPr id="25" name="Straight Connector 23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CxnSpPr/>
      </xdr:nvCxnSpPr>
      <xdr:spPr>
        <a:xfrm flipH="1" flipV="1">
          <a:off x="4795702" y="1171032"/>
          <a:ext cx="4898" cy="337728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449035</xdr:colOff>
      <xdr:row>3</xdr:row>
      <xdr:rowOff>966107</xdr:rowOff>
    </xdr:from>
    <xdr:to>
      <xdr:col>11</xdr:col>
      <xdr:colOff>451757</xdr:colOff>
      <xdr:row>4</xdr:row>
      <xdr:rowOff>393251</xdr:rowOff>
    </xdr:to>
    <xdr:cxnSp macro="">
      <xdr:nvCxnSpPr>
        <xdr:cNvPr id="26" name="Straight Connector 24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CxnSpPr/>
      </xdr:nvCxnSpPr>
      <xdr:spPr>
        <a:xfrm flipH="1" flipV="1">
          <a:off x="7322275" y="668927"/>
          <a:ext cx="2722" cy="166284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56878</xdr:colOff>
      <xdr:row>3</xdr:row>
      <xdr:rowOff>413658</xdr:rowOff>
    </xdr:from>
    <xdr:to>
      <xdr:col>14</xdr:col>
      <xdr:colOff>457200</xdr:colOff>
      <xdr:row>4</xdr:row>
      <xdr:rowOff>22860</xdr:rowOff>
    </xdr:to>
    <xdr:sp macro="" textlink="">
      <xdr:nvSpPr>
        <xdr:cNvPr id="27" name="TextBox 25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/>
      </xdr:nvSpPr>
      <xdr:spPr>
        <a:xfrm>
          <a:off x="6930118" y="672738"/>
          <a:ext cx="2274842" cy="206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aseline="0"/>
            <a:t>Enables CRA, DCR Forbidden Regions</a:t>
          </a:r>
          <a:endParaRPr lang="en-US" sz="800"/>
        </a:p>
      </xdr:txBody>
    </xdr:sp>
    <xdr:clientData/>
  </xdr:twoCellAnchor>
  <xdr:twoCellAnchor>
    <xdr:from>
      <xdr:col>5</xdr:col>
      <xdr:colOff>6802</xdr:colOff>
      <xdr:row>8</xdr:row>
      <xdr:rowOff>244929</xdr:rowOff>
    </xdr:from>
    <xdr:to>
      <xdr:col>5</xdr:col>
      <xdr:colOff>6804</xdr:colOff>
      <xdr:row>9</xdr:row>
      <xdr:rowOff>5447</xdr:rowOff>
    </xdr:to>
    <xdr:cxnSp macro="">
      <xdr:nvCxnSpPr>
        <xdr:cNvPr id="28" name="Straight Connector 26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CxnSpPr/>
      </xdr:nvCxnSpPr>
      <xdr:spPr>
        <a:xfrm flipV="1">
          <a:off x="3131002" y="1509849"/>
          <a:ext cx="2" cy="4358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476249</xdr:colOff>
      <xdr:row>6</xdr:row>
      <xdr:rowOff>421341</xdr:rowOff>
    </xdr:from>
    <xdr:to>
      <xdr:col>2</xdr:col>
      <xdr:colOff>0</xdr:colOff>
      <xdr:row>8</xdr:row>
      <xdr:rowOff>46270</xdr:rowOff>
    </xdr:to>
    <xdr:cxnSp macro="">
      <xdr:nvCxnSpPr>
        <xdr:cNvPr id="29" name="Straight Connector 27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CxnSpPr/>
      </xdr:nvCxnSpPr>
      <xdr:spPr>
        <a:xfrm flipV="1">
          <a:off x="1569943" y="3765176"/>
          <a:ext cx="7845" cy="655870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6</xdr:row>
      <xdr:rowOff>412377</xdr:rowOff>
    </xdr:from>
    <xdr:to>
      <xdr:col>7</xdr:col>
      <xdr:colOff>417739</xdr:colOff>
      <xdr:row>6</xdr:row>
      <xdr:rowOff>417739</xdr:rowOff>
    </xdr:to>
    <xdr:cxnSp macro="">
      <xdr:nvCxnSpPr>
        <xdr:cNvPr id="30" name="Straight Connector 28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CxnSpPr/>
      </xdr:nvCxnSpPr>
      <xdr:spPr>
        <a:xfrm>
          <a:off x="1577788" y="3756212"/>
          <a:ext cx="2416869" cy="5362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9523</xdr:colOff>
      <xdr:row>7</xdr:row>
      <xdr:rowOff>299357</xdr:rowOff>
    </xdr:from>
    <xdr:to>
      <xdr:col>5</xdr:col>
      <xdr:colOff>13608</xdr:colOff>
      <xdr:row>8</xdr:row>
      <xdr:rowOff>259901</xdr:rowOff>
    </xdr:to>
    <xdr:cxnSp macro="">
      <xdr:nvCxnSpPr>
        <xdr:cNvPr id="31" name="Straight Connector 29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CxnSpPr/>
      </xdr:nvCxnSpPr>
      <xdr:spPr>
        <a:xfrm flipV="1">
          <a:off x="3133723" y="1343297"/>
          <a:ext cx="4085" cy="166284"/>
        </a:xfrm>
        <a:prstGeom prst="line">
          <a:avLst/>
        </a:prstGeom>
        <a:ln w="28575">
          <a:solidFill>
            <a:schemeClr val="accent3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13607</xdr:colOff>
      <xdr:row>7</xdr:row>
      <xdr:rowOff>6803</xdr:rowOff>
    </xdr:from>
    <xdr:to>
      <xdr:col>5</xdr:col>
      <xdr:colOff>13608</xdr:colOff>
      <xdr:row>7</xdr:row>
      <xdr:rowOff>284393</xdr:rowOff>
    </xdr:to>
    <xdr:cxnSp macro="">
      <xdr:nvCxnSpPr>
        <xdr:cNvPr id="32" name="Straight Connector 30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CxnSpPr/>
      </xdr:nvCxnSpPr>
      <xdr:spPr>
        <a:xfrm flipV="1">
          <a:off x="3137807" y="1180283"/>
          <a:ext cx="1" cy="163290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</xdr:colOff>
      <xdr:row>4</xdr:row>
      <xdr:rowOff>415018</xdr:rowOff>
    </xdr:from>
    <xdr:to>
      <xdr:col>5</xdr:col>
      <xdr:colOff>13608</xdr:colOff>
      <xdr:row>6</xdr:row>
      <xdr:rowOff>413661</xdr:rowOff>
    </xdr:to>
    <xdr:cxnSp macro="">
      <xdr:nvCxnSpPr>
        <xdr:cNvPr id="33" name="Straight Connector 31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CxnSpPr/>
      </xdr:nvCxnSpPr>
      <xdr:spPr>
        <a:xfrm flipV="1">
          <a:off x="3133725" y="841738"/>
          <a:ext cx="4083" cy="333923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47625</xdr:colOff>
      <xdr:row>4</xdr:row>
      <xdr:rowOff>258536</xdr:rowOff>
    </xdr:from>
    <xdr:to>
      <xdr:col>16</xdr:col>
      <xdr:colOff>47626</xdr:colOff>
      <xdr:row>5</xdr:row>
      <xdr:rowOff>212277</xdr:rowOff>
    </xdr:to>
    <xdr:cxnSp macro="">
      <xdr:nvCxnSpPr>
        <xdr:cNvPr id="35" name="Straight Connector 33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CxnSpPr/>
      </xdr:nvCxnSpPr>
      <xdr:spPr>
        <a:xfrm flipH="1" flipV="1">
          <a:off x="10045065" y="837656"/>
          <a:ext cx="1" cy="167101"/>
        </a:xfrm>
        <a:prstGeom prst="line">
          <a:avLst/>
        </a:prstGeom>
        <a:ln w="28575">
          <a:solidFill>
            <a:schemeClr val="accent3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45720</xdr:colOff>
      <xdr:row>3</xdr:row>
      <xdr:rowOff>419100</xdr:rowOff>
    </xdr:from>
    <xdr:to>
      <xdr:col>16</xdr:col>
      <xdr:colOff>47626</xdr:colOff>
      <xdr:row>4</xdr:row>
      <xdr:rowOff>250378</xdr:rowOff>
    </xdr:to>
    <xdr:cxnSp macro="">
      <xdr:nvCxnSpPr>
        <xdr:cNvPr id="36" name="Straight Connector 34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CxnSpPr/>
      </xdr:nvCxnSpPr>
      <xdr:spPr>
        <a:xfrm flipH="1" flipV="1">
          <a:off x="10043160" y="670560"/>
          <a:ext cx="1906" cy="166558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27693</xdr:colOff>
      <xdr:row>3</xdr:row>
      <xdr:rowOff>387804</xdr:rowOff>
    </xdr:from>
    <xdr:to>
      <xdr:col>16</xdr:col>
      <xdr:colOff>117180</xdr:colOff>
      <xdr:row>3</xdr:row>
      <xdr:rowOff>387805</xdr:rowOff>
    </xdr:to>
    <xdr:cxnSp macro="">
      <xdr:nvCxnSpPr>
        <xdr:cNvPr id="37" name="Straight Connector 35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CxnSpPr/>
      </xdr:nvCxnSpPr>
      <xdr:spPr>
        <a:xfrm flipV="1">
          <a:off x="5774069" y="1759404"/>
          <a:ext cx="1407299" cy="1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30482</xdr:colOff>
      <xdr:row>2</xdr:row>
      <xdr:rowOff>342900</xdr:rowOff>
    </xdr:from>
    <xdr:to>
      <xdr:col>14</xdr:col>
      <xdr:colOff>38100</xdr:colOff>
      <xdr:row>3</xdr:row>
      <xdr:rowOff>342900</xdr:rowOff>
    </xdr:to>
    <xdr:cxnSp macro="">
      <xdr:nvCxnSpPr>
        <xdr:cNvPr id="38" name="Straight Connector 36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CxnSpPr/>
      </xdr:nvCxnSpPr>
      <xdr:spPr>
        <a:xfrm flipH="1" flipV="1">
          <a:off x="8778242" y="502920"/>
          <a:ext cx="7618" cy="167640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170361</xdr:colOff>
      <xdr:row>2</xdr:row>
      <xdr:rowOff>559797</xdr:rowOff>
    </xdr:from>
    <xdr:to>
      <xdr:col>16</xdr:col>
      <xdr:colOff>144781</xdr:colOff>
      <xdr:row>3</xdr:row>
      <xdr:rowOff>182880</xdr:rowOff>
    </xdr:to>
    <xdr:sp macro="" textlink="">
      <xdr:nvSpPr>
        <xdr:cNvPr id="39" name="TextBox 37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 txBox="1"/>
      </xdr:nvSpPr>
      <xdr:spPr>
        <a:xfrm>
          <a:off x="7668441" y="506457"/>
          <a:ext cx="2473780" cy="16410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aseline="0"/>
            <a:t>Enables ALC</a:t>
          </a:r>
          <a:endParaRPr lang="en-US" sz="800"/>
        </a:p>
      </xdr:txBody>
    </xdr:sp>
    <xdr:clientData/>
  </xdr:twoCellAnchor>
  <xdr:twoCellAnchor>
    <xdr:from>
      <xdr:col>10</xdr:col>
      <xdr:colOff>403860</xdr:colOff>
      <xdr:row>3</xdr:row>
      <xdr:rowOff>777240</xdr:rowOff>
    </xdr:from>
    <xdr:to>
      <xdr:col>10</xdr:col>
      <xdr:colOff>419100</xdr:colOff>
      <xdr:row>9</xdr:row>
      <xdr:rowOff>0</xdr:rowOff>
    </xdr:to>
    <xdr:cxnSp macro="">
      <xdr:nvCxnSpPr>
        <xdr:cNvPr id="40" name="Straight Connector 38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CxnSpPr/>
      </xdr:nvCxnSpPr>
      <xdr:spPr>
        <a:xfrm flipH="1" flipV="1">
          <a:off x="5182048" y="2148840"/>
          <a:ext cx="15240" cy="3032760"/>
        </a:xfrm>
        <a:prstGeom prst="line">
          <a:avLst/>
        </a:prstGeom>
        <a:ln w="28575">
          <a:solidFill>
            <a:schemeClr val="accent3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410663</xdr:colOff>
      <xdr:row>2</xdr:row>
      <xdr:rowOff>317046</xdr:rowOff>
    </xdr:from>
    <xdr:to>
      <xdr:col>14</xdr:col>
      <xdr:colOff>56878</xdr:colOff>
      <xdr:row>2</xdr:row>
      <xdr:rowOff>321131</xdr:rowOff>
    </xdr:to>
    <xdr:cxnSp macro="">
      <xdr:nvCxnSpPr>
        <xdr:cNvPr id="41" name="Straight Connector 39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CxnSpPr/>
      </xdr:nvCxnSpPr>
      <xdr:spPr>
        <a:xfrm flipV="1">
          <a:off x="6659063" y="499926"/>
          <a:ext cx="2145575" cy="4085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456654</xdr:colOff>
      <xdr:row>1</xdr:row>
      <xdr:rowOff>99059</xdr:rowOff>
    </xdr:from>
    <xdr:to>
      <xdr:col>14</xdr:col>
      <xdr:colOff>204923</xdr:colOff>
      <xdr:row>1</xdr:row>
      <xdr:rowOff>327660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 txBox="1"/>
      </xdr:nvSpPr>
      <xdr:spPr>
        <a:xfrm>
          <a:off x="6705054" y="266699"/>
          <a:ext cx="2247629" cy="6858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aseline="0"/>
            <a:t>Enables TJP, HWP</a:t>
          </a:r>
          <a:endParaRPr lang="en-US" sz="800"/>
        </a:p>
      </xdr:txBody>
    </xdr:sp>
    <xdr:clientData/>
  </xdr:twoCellAnchor>
  <xdr:twoCellAnchor>
    <xdr:from>
      <xdr:col>10</xdr:col>
      <xdr:colOff>403860</xdr:colOff>
      <xdr:row>2</xdr:row>
      <xdr:rowOff>320042</xdr:rowOff>
    </xdr:from>
    <xdr:to>
      <xdr:col>10</xdr:col>
      <xdr:colOff>403861</xdr:colOff>
      <xdr:row>3</xdr:row>
      <xdr:rowOff>800100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CxnSpPr/>
      </xdr:nvCxnSpPr>
      <xdr:spPr>
        <a:xfrm flipV="1">
          <a:off x="6652260" y="502922"/>
          <a:ext cx="1" cy="167638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30480</xdr:colOff>
      <xdr:row>7</xdr:row>
      <xdr:rowOff>60960</xdr:rowOff>
    </xdr:from>
    <xdr:to>
      <xdr:col>35</xdr:col>
      <xdr:colOff>60960</xdr:colOff>
      <xdr:row>9</xdr:row>
      <xdr:rowOff>15240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CxnSpPr/>
      </xdr:nvCxnSpPr>
      <xdr:spPr>
        <a:xfrm flipH="1" flipV="1">
          <a:off x="14782800" y="3924300"/>
          <a:ext cx="30480" cy="1264920"/>
        </a:xfrm>
        <a:prstGeom prst="line">
          <a:avLst/>
        </a:prstGeom>
        <a:ln w="28575">
          <a:solidFill>
            <a:schemeClr val="accent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369024</xdr:colOff>
      <xdr:row>6</xdr:row>
      <xdr:rowOff>463187</xdr:rowOff>
    </xdr:from>
    <xdr:to>
      <xdr:col>37</xdr:col>
      <xdr:colOff>487680</xdr:colOff>
      <xdr:row>7</xdr:row>
      <xdr:rowOff>170328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 txBox="1"/>
      </xdr:nvSpPr>
      <xdr:spPr>
        <a:xfrm>
          <a:off x="13358883" y="3807022"/>
          <a:ext cx="2610844" cy="2360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aseline="0"/>
            <a:t>Enables AEB (car, bike, pedestrian, low speed AEB), ACC</a:t>
          </a:r>
          <a:endParaRPr lang="en-US" sz="800"/>
        </a:p>
      </xdr:txBody>
    </xdr:sp>
    <xdr:clientData/>
  </xdr:twoCellAnchor>
  <xdr:twoCellAnchor>
    <xdr:from>
      <xdr:col>38</xdr:col>
      <xdr:colOff>22860</xdr:colOff>
      <xdr:row>7</xdr:row>
      <xdr:rowOff>327660</xdr:rowOff>
    </xdr:from>
    <xdr:to>
      <xdr:col>38</xdr:col>
      <xdr:colOff>29935</xdr:colOff>
      <xdr:row>9</xdr:row>
      <xdr:rowOff>5444</xdr:rowOff>
    </xdr:to>
    <xdr:cxnSp macro="">
      <xdr:nvCxnSpPr>
        <xdr:cNvPr id="46" name="Straight Connector 6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CxnSpPr/>
      </xdr:nvCxnSpPr>
      <xdr:spPr>
        <a:xfrm flipH="1" flipV="1">
          <a:off x="16169640" y="4191000"/>
          <a:ext cx="7075" cy="988424"/>
        </a:xfrm>
        <a:prstGeom prst="line">
          <a:avLst/>
        </a:prstGeom>
        <a:ln w="28575">
          <a:solidFill>
            <a:schemeClr val="accent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60960</xdr:colOff>
      <xdr:row>7</xdr:row>
      <xdr:rowOff>320040</xdr:rowOff>
    </xdr:from>
    <xdr:to>
      <xdr:col>38</xdr:col>
      <xdr:colOff>30480</xdr:colOff>
      <xdr:row>7</xdr:row>
      <xdr:rowOff>320042</xdr:rowOff>
    </xdr:to>
    <xdr:cxnSp macro="">
      <xdr:nvCxnSpPr>
        <xdr:cNvPr id="52" name="Straight Connector 7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CxnSpPr/>
      </xdr:nvCxnSpPr>
      <xdr:spPr>
        <a:xfrm flipV="1">
          <a:off x="14813280" y="4183380"/>
          <a:ext cx="1363980" cy="2"/>
        </a:xfrm>
        <a:prstGeom prst="line">
          <a:avLst/>
        </a:prstGeom>
        <a:ln w="28575">
          <a:solidFill>
            <a:schemeClr val="accent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38100</xdr:colOff>
      <xdr:row>8</xdr:row>
      <xdr:rowOff>457200</xdr:rowOff>
    </xdr:from>
    <xdr:to>
      <xdr:col>26</xdr:col>
      <xdr:colOff>43210</xdr:colOff>
      <xdr:row>9</xdr:row>
      <xdr:rowOff>1850</xdr:rowOff>
    </xdr:to>
    <xdr:cxnSp macro="">
      <xdr:nvCxnSpPr>
        <xdr:cNvPr id="57" name="Straight Connector 2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CxnSpPr/>
      </xdr:nvCxnSpPr>
      <xdr:spPr>
        <a:xfrm flipH="1" flipV="1">
          <a:off x="11209020" y="4823460"/>
          <a:ext cx="5110" cy="352370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7620</xdr:colOff>
      <xdr:row>8</xdr:row>
      <xdr:rowOff>457200</xdr:rowOff>
    </xdr:from>
    <xdr:to>
      <xdr:col>23</xdr:col>
      <xdr:colOff>15240</xdr:colOff>
      <xdr:row>9</xdr:row>
      <xdr:rowOff>0</xdr:rowOff>
    </xdr:to>
    <xdr:cxnSp macro="">
      <xdr:nvCxnSpPr>
        <xdr:cNvPr id="60" name="Straight Connector 26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CxnSpPr/>
      </xdr:nvCxnSpPr>
      <xdr:spPr>
        <a:xfrm flipV="1">
          <a:off x="10005060" y="4823460"/>
          <a:ext cx="7620" cy="350520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15240</xdr:colOff>
      <xdr:row>7</xdr:row>
      <xdr:rowOff>335280</xdr:rowOff>
    </xdr:from>
    <xdr:to>
      <xdr:col>20</xdr:col>
      <xdr:colOff>22860</xdr:colOff>
      <xdr:row>9</xdr:row>
      <xdr:rowOff>0</xdr:rowOff>
    </xdr:to>
    <xdr:cxnSp macro="">
      <xdr:nvCxnSpPr>
        <xdr:cNvPr id="61" name="Straight Connector 26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CxnSpPr/>
      </xdr:nvCxnSpPr>
      <xdr:spPr>
        <a:xfrm flipH="1" flipV="1">
          <a:off x="8846820" y="4198620"/>
          <a:ext cx="7620" cy="975360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7620</xdr:colOff>
      <xdr:row>8</xdr:row>
      <xdr:rowOff>495300</xdr:rowOff>
    </xdr:from>
    <xdr:to>
      <xdr:col>29</xdr:col>
      <xdr:colOff>12730</xdr:colOff>
      <xdr:row>9</xdr:row>
      <xdr:rowOff>1850</xdr:rowOff>
    </xdr:to>
    <xdr:cxnSp macro="">
      <xdr:nvCxnSpPr>
        <xdr:cNvPr id="62" name="Straight Connector 26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CxnSpPr/>
      </xdr:nvCxnSpPr>
      <xdr:spPr>
        <a:xfrm flipH="1" flipV="1">
          <a:off x="12390120" y="4861560"/>
          <a:ext cx="5110" cy="314270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22860</xdr:colOff>
      <xdr:row>8</xdr:row>
      <xdr:rowOff>502920</xdr:rowOff>
    </xdr:from>
    <xdr:to>
      <xdr:col>32</xdr:col>
      <xdr:colOff>22860</xdr:colOff>
      <xdr:row>8</xdr:row>
      <xdr:rowOff>800100</xdr:rowOff>
    </xdr:to>
    <xdr:cxnSp macro="">
      <xdr:nvCxnSpPr>
        <xdr:cNvPr id="65" name="Straight Connector 26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CxnSpPr/>
      </xdr:nvCxnSpPr>
      <xdr:spPr>
        <a:xfrm flipV="1">
          <a:off x="13586460" y="4869180"/>
          <a:ext cx="0" cy="297180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22860</xdr:colOff>
      <xdr:row>8</xdr:row>
      <xdr:rowOff>449580</xdr:rowOff>
    </xdr:from>
    <xdr:to>
      <xdr:col>26</xdr:col>
      <xdr:colOff>45720</xdr:colOff>
      <xdr:row>8</xdr:row>
      <xdr:rowOff>457200</xdr:rowOff>
    </xdr:to>
    <xdr:cxnSp macro="">
      <xdr:nvCxnSpPr>
        <xdr:cNvPr id="72" name="Straight Connector 26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CxnSpPr/>
      </xdr:nvCxnSpPr>
      <xdr:spPr>
        <a:xfrm>
          <a:off x="8854440" y="4815840"/>
          <a:ext cx="2362200" cy="7620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480060</xdr:colOff>
      <xdr:row>8</xdr:row>
      <xdr:rowOff>487680</xdr:rowOff>
    </xdr:from>
    <xdr:to>
      <xdr:col>32</xdr:col>
      <xdr:colOff>7620</xdr:colOff>
      <xdr:row>8</xdr:row>
      <xdr:rowOff>495300</xdr:rowOff>
    </xdr:to>
    <xdr:cxnSp macro="">
      <xdr:nvCxnSpPr>
        <xdr:cNvPr id="81" name="Straight Connector 26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CxnSpPr/>
      </xdr:nvCxnSpPr>
      <xdr:spPr>
        <a:xfrm>
          <a:off x="12374880" y="4853940"/>
          <a:ext cx="1196340" cy="7620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181328</xdr:colOff>
      <xdr:row>8</xdr:row>
      <xdr:rowOff>38391</xdr:rowOff>
    </xdr:from>
    <xdr:to>
      <xdr:col>26</xdr:col>
      <xdr:colOff>8965</xdr:colOff>
      <xdr:row>8</xdr:row>
      <xdr:rowOff>215154</xdr:rowOff>
    </xdr:to>
    <xdr:sp macro="" textlink="">
      <xdr:nvSpPr>
        <xdr:cNvPr id="89" name="TextBox 20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 txBox="1"/>
      </xdr:nvSpPr>
      <xdr:spPr>
        <a:xfrm>
          <a:off x="10114222" y="4413167"/>
          <a:ext cx="993049" cy="17676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aseline="0"/>
            <a:t>Enables FCTA</a:t>
          </a:r>
          <a:endParaRPr lang="en-US" sz="800"/>
        </a:p>
      </xdr:txBody>
    </xdr:sp>
    <xdr:clientData/>
  </xdr:twoCellAnchor>
  <xdr:twoCellAnchor>
    <xdr:from>
      <xdr:col>30</xdr:col>
      <xdr:colOff>107576</xdr:colOff>
      <xdr:row>6</xdr:row>
      <xdr:rowOff>17930</xdr:rowOff>
    </xdr:from>
    <xdr:to>
      <xdr:col>30</xdr:col>
      <xdr:colOff>142270</xdr:colOff>
      <xdr:row>8</xdr:row>
      <xdr:rowOff>459051</xdr:rowOff>
    </xdr:to>
    <xdr:cxnSp macro="">
      <xdr:nvCxnSpPr>
        <xdr:cNvPr id="96" name="Straight Connector 26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CxnSpPr/>
      </xdr:nvCxnSpPr>
      <xdr:spPr>
        <a:xfrm flipH="1" flipV="1">
          <a:off x="12891247" y="3361765"/>
          <a:ext cx="34694" cy="1472062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188499</xdr:colOff>
      <xdr:row>8</xdr:row>
      <xdr:rowOff>70215</xdr:rowOff>
    </xdr:from>
    <xdr:to>
      <xdr:col>31</xdr:col>
      <xdr:colOff>430305</xdr:colOff>
      <xdr:row>8</xdr:row>
      <xdr:rowOff>304801</xdr:rowOff>
    </xdr:to>
    <xdr:sp macro="" textlink="">
      <xdr:nvSpPr>
        <xdr:cNvPr id="97" name="TextBox 20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 txBox="1"/>
      </xdr:nvSpPr>
      <xdr:spPr>
        <a:xfrm>
          <a:off x="12488075" y="4444991"/>
          <a:ext cx="932089" cy="23458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aseline="0"/>
            <a:t>Enables RCTA</a:t>
          </a:r>
          <a:endParaRPr lang="en-US" sz="800"/>
        </a:p>
      </xdr:txBody>
    </xdr:sp>
    <xdr:clientData/>
  </xdr:twoCellAnchor>
  <xdr:twoCellAnchor>
    <xdr:from>
      <xdr:col>38</xdr:col>
      <xdr:colOff>43030</xdr:colOff>
      <xdr:row>7</xdr:row>
      <xdr:rowOff>331695</xdr:rowOff>
    </xdr:from>
    <xdr:to>
      <xdr:col>40</xdr:col>
      <xdr:colOff>473784</xdr:colOff>
      <xdr:row>7</xdr:row>
      <xdr:rowOff>331695</xdr:rowOff>
    </xdr:to>
    <xdr:cxnSp macro="">
      <xdr:nvCxnSpPr>
        <xdr:cNvPr id="105" name="Straight Connector 6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CxnSpPr/>
      </xdr:nvCxnSpPr>
      <xdr:spPr>
        <a:xfrm>
          <a:off x="16098818" y="4204448"/>
          <a:ext cx="1273437" cy="0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480060</xdr:colOff>
      <xdr:row>6</xdr:row>
      <xdr:rowOff>449580</xdr:rowOff>
    </xdr:from>
    <xdr:to>
      <xdr:col>50</xdr:col>
      <xdr:colOff>7620</xdr:colOff>
      <xdr:row>8</xdr:row>
      <xdr:rowOff>792482</xdr:rowOff>
    </xdr:to>
    <xdr:cxnSp macro="">
      <xdr:nvCxnSpPr>
        <xdr:cNvPr id="110" name="Straight Connector 9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CxnSpPr/>
      </xdr:nvCxnSpPr>
      <xdr:spPr>
        <a:xfrm flipH="1" flipV="1">
          <a:off x="20962620" y="3787140"/>
          <a:ext cx="15240" cy="1371602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45720</xdr:colOff>
      <xdr:row>2</xdr:row>
      <xdr:rowOff>304800</xdr:rowOff>
    </xdr:from>
    <xdr:to>
      <xdr:col>52</xdr:col>
      <xdr:colOff>457200</xdr:colOff>
      <xdr:row>2</xdr:row>
      <xdr:rowOff>320040</xdr:rowOff>
    </xdr:to>
    <xdr:cxnSp macro="">
      <xdr:nvCxnSpPr>
        <xdr:cNvPr id="113" name="Straight Connector 5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CxnSpPr/>
      </xdr:nvCxnSpPr>
      <xdr:spPr>
        <a:xfrm flipV="1">
          <a:off x="6499860" y="1089660"/>
          <a:ext cx="15643860" cy="15240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106680</xdr:colOff>
      <xdr:row>8</xdr:row>
      <xdr:rowOff>38100</xdr:rowOff>
    </xdr:from>
    <xdr:to>
      <xdr:col>52</xdr:col>
      <xdr:colOff>7620</xdr:colOff>
      <xdr:row>8</xdr:row>
      <xdr:rowOff>266700</xdr:rowOff>
    </xdr:to>
    <xdr:sp macro="" textlink="">
      <xdr:nvSpPr>
        <xdr:cNvPr id="117" name="TextBox 13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 txBox="1"/>
      </xdr:nvSpPr>
      <xdr:spPr>
        <a:xfrm>
          <a:off x="20444460" y="4404360"/>
          <a:ext cx="1249680" cy="228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aseline="0"/>
            <a:t>Enables surround view</a:t>
          </a:r>
          <a:endParaRPr lang="en-US" sz="800"/>
        </a:p>
      </xdr:txBody>
    </xdr:sp>
    <xdr:clientData/>
  </xdr:twoCellAnchor>
  <xdr:twoCellAnchor>
    <xdr:from>
      <xdr:col>52</xdr:col>
      <xdr:colOff>457200</xdr:colOff>
      <xdr:row>2</xdr:row>
      <xdr:rowOff>320040</xdr:rowOff>
    </xdr:from>
    <xdr:to>
      <xdr:col>53</xdr:col>
      <xdr:colOff>7620</xdr:colOff>
      <xdr:row>8</xdr:row>
      <xdr:rowOff>792482</xdr:rowOff>
    </xdr:to>
    <xdr:cxnSp macro="">
      <xdr:nvCxnSpPr>
        <xdr:cNvPr id="118" name="Straight Connector 9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CxnSpPr/>
      </xdr:nvCxnSpPr>
      <xdr:spPr>
        <a:xfrm flipH="1" flipV="1">
          <a:off x="20939760" y="1104900"/>
          <a:ext cx="38100" cy="4053842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83820</xdr:colOff>
      <xdr:row>7</xdr:row>
      <xdr:rowOff>205740</xdr:rowOff>
    </xdr:from>
    <xdr:to>
      <xdr:col>54</xdr:col>
      <xdr:colOff>61503</xdr:colOff>
      <xdr:row>7</xdr:row>
      <xdr:rowOff>429170</xdr:rowOff>
    </xdr:to>
    <xdr:sp macro="" textlink="">
      <xdr:nvSpPr>
        <xdr:cNvPr id="119" name="TextBox 13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 txBox="1"/>
      </xdr:nvSpPr>
      <xdr:spPr>
        <a:xfrm>
          <a:off x="20566380" y="4069080"/>
          <a:ext cx="1014003" cy="22343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aseline="0"/>
            <a:t>Enables DMC</a:t>
          </a:r>
          <a:endParaRPr lang="en-US" sz="800"/>
        </a:p>
      </xdr:txBody>
    </xdr:sp>
    <xdr:clientData/>
  </xdr:twoCellAnchor>
  <xdr:twoCellAnchor>
    <xdr:from>
      <xdr:col>46</xdr:col>
      <xdr:colOff>160020</xdr:colOff>
      <xdr:row>6</xdr:row>
      <xdr:rowOff>419100</xdr:rowOff>
    </xdr:from>
    <xdr:to>
      <xdr:col>50</xdr:col>
      <xdr:colOff>0</xdr:colOff>
      <xdr:row>6</xdr:row>
      <xdr:rowOff>419100</xdr:rowOff>
    </xdr:to>
    <xdr:cxnSp macro="">
      <xdr:nvCxnSpPr>
        <xdr:cNvPr id="123" name="Straight Connector 6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CxnSpPr/>
      </xdr:nvCxnSpPr>
      <xdr:spPr>
        <a:xfrm>
          <a:off x="19522440" y="3756660"/>
          <a:ext cx="1447800" cy="0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182880</xdr:colOff>
      <xdr:row>6</xdr:row>
      <xdr:rowOff>419100</xdr:rowOff>
    </xdr:from>
    <xdr:to>
      <xdr:col>46</xdr:col>
      <xdr:colOff>137160</xdr:colOff>
      <xdr:row>6</xdr:row>
      <xdr:rowOff>426720</xdr:rowOff>
    </xdr:to>
    <xdr:cxnSp macro="">
      <xdr:nvCxnSpPr>
        <xdr:cNvPr id="125" name="Straight Connector 33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CxnSpPr/>
      </xdr:nvCxnSpPr>
      <xdr:spPr>
        <a:xfrm flipV="1">
          <a:off x="18851880" y="3756660"/>
          <a:ext cx="647700" cy="7620"/>
        </a:xfrm>
        <a:prstGeom prst="line">
          <a:avLst/>
        </a:prstGeom>
        <a:ln w="28575">
          <a:solidFill>
            <a:schemeClr val="accent3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472440</xdr:colOff>
      <xdr:row>6</xdr:row>
      <xdr:rowOff>426720</xdr:rowOff>
    </xdr:from>
    <xdr:to>
      <xdr:col>44</xdr:col>
      <xdr:colOff>160020</xdr:colOff>
      <xdr:row>6</xdr:row>
      <xdr:rowOff>426720</xdr:rowOff>
    </xdr:to>
    <xdr:cxnSp macro="">
      <xdr:nvCxnSpPr>
        <xdr:cNvPr id="129" name="Straight Connector 6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CxnSpPr/>
      </xdr:nvCxnSpPr>
      <xdr:spPr>
        <a:xfrm>
          <a:off x="17457420" y="3764280"/>
          <a:ext cx="1371600" cy="0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335280</xdr:colOff>
      <xdr:row>5</xdr:row>
      <xdr:rowOff>342900</xdr:rowOff>
    </xdr:from>
    <xdr:to>
      <xdr:col>49</xdr:col>
      <xdr:colOff>464820</xdr:colOff>
      <xdr:row>6</xdr:row>
      <xdr:rowOff>30480</xdr:rowOff>
    </xdr:to>
    <xdr:sp macro="" textlink="">
      <xdr:nvSpPr>
        <xdr:cNvPr id="134" name="TextBox 13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 txBox="1"/>
      </xdr:nvSpPr>
      <xdr:spPr>
        <a:xfrm>
          <a:off x="19697700" y="3139440"/>
          <a:ext cx="1249680" cy="228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aseline="0"/>
            <a:t>Enables Parking functions</a:t>
          </a:r>
          <a:endParaRPr lang="en-US" sz="800"/>
        </a:p>
      </xdr:txBody>
    </xdr:sp>
    <xdr:clientData/>
  </xdr:twoCellAnchor>
  <xdr:twoCellAnchor>
    <xdr:from>
      <xdr:col>47</xdr:col>
      <xdr:colOff>464820</xdr:colOff>
      <xdr:row>6</xdr:row>
      <xdr:rowOff>0</xdr:rowOff>
    </xdr:from>
    <xdr:to>
      <xdr:col>47</xdr:col>
      <xdr:colOff>472440</xdr:colOff>
      <xdr:row>6</xdr:row>
      <xdr:rowOff>388620</xdr:rowOff>
    </xdr:to>
    <xdr:cxnSp macro="">
      <xdr:nvCxnSpPr>
        <xdr:cNvPr id="135" name="Straight Connector 9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CxnSpPr/>
      </xdr:nvCxnSpPr>
      <xdr:spPr>
        <a:xfrm flipH="1" flipV="1">
          <a:off x="20314920" y="3337560"/>
          <a:ext cx="7620" cy="388620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71958</xdr:colOff>
      <xdr:row>5</xdr:row>
      <xdr:rowOff>312261</xdr:rowOff>
    </xdr:from>
    <xdr:to>
      <xdr:col>31</xdr:col>
      <xdr:colOff>313764</xdr:colOff>
      <xdr:row>6</xdr:row>
      <xdr:rowOff>8965</xdr:rowOff>
    </xdr:to>
    <xdr:sp macro="" textlink="">
      <xdr:nvSpPr>
        <xdr:cNvPr id="71" name="TextBox 20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 txBox="1"/>
      </xdr:nvSpPr>
      <xdr:spPr>
        <a:xfrm>
          <a:off x="12371534" y="3118214"/>
          <a:ext cx="932089" cy="23458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aseline="0"/>
            <a:t>Enables LCCM</a:t>
          </a:r>
          <a:endParaRPr lang="en-US" sz="8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464820</xdr:colOff>
      <xdr:row>62</xdr:row>
      <xdr:rowOff>91440</xdr:rowOff>
    </xdr:from>
    <xdr:to>
      <xdr:col>5</xdr:col>
      <xdr:colOff>146488</xdr:colOff>
      <xdr:row>77</xdr:row>
      <xdr:rowOff>2282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4820" y="7635240"/>
          <a:ext cx="6036748" cy="242544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400050</xdr:colOff>
      <xdr:row>12</xdr:row>
      <xdr:rowOff>9525</xdr:rowOff>
    </xdr:from>
    <xdr:to>
      <xdr:col>2</xdr:col>
      <xdr:colOff>428625</xdr:colOff>
      <xdr:row>20</xdr:row>
      <xdr:rowOff>142875</xdr:rowOff>
    </xdr:to>
    <xdr:sp macro="" textlink="">
      <xdr:nvSpPr>
        <xdr:cNvPr id="2" name="Left Brace 1">
          <a:extLst>
            <a:ext uri="{FF2B5EF4-FFF2-40B4-BE49-F238E27FC236}">
              <a16:creationId xmlns:a16="http://schemas.microsoft.com/office/drawing/2014/main" id="{B7F61B9D-FDAD-47D6-A0F0-26334FCBA6A3}"/>
            </a:ext>
          </a:extLst>
        </xdr:cNvPr>
        <xdr:cNvSpPr/>
      </xdr:nvSpPr>
      <xdr:spPr>
        <a:xfrm>
          <a:off x="1266825" y="1952625"/>
          <a:ext cx="428625" cy="1314450"/>
        </a:xfrm>
        <a:prstGeom prst="leftBrace">
          <a:avLst/>
        </a:prstGeom>
        <a:ln w="127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7</xdr:row>
      <xdr:rowOff>0</xdr:rowOff>
    </xdr:from>
    <xdr:to>
      <xdr:col>15</xdr:col>
      <xdr:colOff>0</xdr:colOff>
      <xdr:row>12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FE8D9D6-8CA5-4731-A4F0-67FDD1C30B7E}"/>
            </a:ext>
          </a:extLst>
        </xdr:cNvPr>
        <xdr:cNvCxnSpPr/>
      </xdr:nvCxnSpPr>
      <xdr:spPr>
        <a:xfrm flipV="1">
          <a:off x="7753350" y="1133475"/>
          <a:ext cx="0" cy="819150"/>
        </a:xfrm>
        <a:prstGeom prst="line">
          <a:avLst/>
        </a:prstGeom>
        <a:ln w="381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295275</xdr:colOff>
      <xdr:row>15</xdr:row>
      <xdr:rowOff>104775</xdr:rowOff>
    </xdr:from>
    <xdr:to>
      <xdr:col>17</xdr:col>
      <xdr:colOff>295275</xdr:colOff>
      <xdr:row>21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54571EF-3BEF-42C1-8FD4-FE8E497AAFD0}"/>
            </a:ext>
          </a:extLst>
        </xdr:cNvPr>
        <xdr:cNvCxnSpPr/>
      </xdr:nvCxnSpPr>
      <xdr:spPr>
        <a:xfrm flipV="1">
          <a:off x="9267825" y="2476500"/>
          <a:ext cx="0" cy="819150"/>
        </a:xfrm>
        <a:prstGeom prst="line">
          <a:avLst/>
        </a:prstGeom>
        <a:ln w="381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38100</xdr:colOff>
      <xdr:row>12</xdr:row>
      <xdr:rowOff>76200</xdr:rowOff>
    </xdr:from>
    <xdr:to>
      <xdr:col>17</xdr:col>
      <xdr:colOff>542925</xdr:colOff>
      <xdr:row>15</xdr:row>
      <xdr:rowOff>104775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366FDFCE-1AA6-4946-9BDE-970849796377}"/>
            </a:ext>
          </a:extLst>
        </xdr:cNvPr>
        <xdr:cNvSpPr/>
      </xdr:nvSpPr>
      <xdr:spPr>
        <a:xfrm>
          <a:off x="9010650" y="2019300"/>
          <a:ext cx="504825" cy="457200"/>
        </a:xfrm>
        <a:prstGeom prst="triangle">
          <a:avLst/>
        </a:prstGeom>
        <a:solidFill>
          <a:schemeClr val="bg1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314325</xdr:colOff>
      <xdr:row>7</xdr:row>
      <xdr:rowOff>0</xdr:rowOff>
    </xdr:from>
    <xdr:to>
      <xdr:col>19</xdr:col>
      <xdr:colOff>314325</xdr:colOff>
      <xdr:row>12</xdr:row>
      <xdr:rowOff>9525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8A84A495-8662-464A-81F4-46559BB5E561}"/>
            </a:ext>
          </a:extLst>
        </xdr:cNvPr>
        <xdr:cNvCxnSpPr/>
      </xdr:nvCxnSpPr>
      <xdr:spPr>
        <a:xfrm flipV="1">
          <a:off x="10506075" y="1133475"/>
          <a:ext cx="0" cy="819150"/>
        </a:xfrm>
        <a:prstGeom prst="line">
          <a:avLst/>
        </a:prstGeom>
        <a:ln w="381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57150</xdr:colOff>
      <xdr:row>4</xdr:row>
      <xdr:rowOff>28575</xdr:rowOff>
    </xdr:from>
    <xdr:to>
      <xdr:col>19</xdr:col>
      <xdr:colOff>561975</xdr:colOff>
      <xdr:row>7</xdr:row>
      <xdr:rowOff>0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7CEE4C7E-756B-4B2D-A01D-584B9121923A}"/>
            </a:ext>
          </a:extLst>
        </xdr:cNvPr>
        <xdr:cNvSpPr/>
      </xdr:nvSpPr>
      <xdr:spPr>
        <a:xfrm rot="10800000">
          <a:off x="10248900" y="676275"/>
          <a:ext cx="504825" cy="457200"/>
        </a:xfrm>
        <a:prstGeom prst="triangle">
          <a:avLst/>
        </a:prstGeom>
        <a:solidFill>
          <a:schemeClr val="bg1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9525</xdr:colOff>
      <xdr:row>15</xdr:row>
      <xdr:rowOff>104775</xdr:rowOff>
    </xdr:from>
    <xdr:to>
      <xdr:col>16</xdr:col>
      <xdr:colOff>9525</xdr:colOff>
      <xdr:row>21</xdr:row>
      <xdr:rowOff>9525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D3DFD6D3-D870-4293-A449-F2215F6EACD9}"/>
            </a:ext>
          </a:extLst>
        </xdr:cNvPr>
        <xdr:cNvCxnSpPr/>
      </xdr:nvCxnSpPr>
      <xdr:spPr>
        <a:xfrm flipV="1">
          <a:off x="8372475" y="2476500"/>
          <a:ext cx="0" cy="819150"/>
        </a:xfrm>
        <a:prstGeom prst="line">
          <a:avLst/>
        </a:prstGeom>
        <a:ln w="381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7</xdr:row>
      <xdr:rowOff>9526</xdr:rowOff>
    </xdr:from>
    <xdr:to>
      <xdr:col>16</xdr:col>
      <xdr:colOff>9525</xdr:colOff>
      <xdr:row>15</xdr:row>
      <xdr:rowOff>133350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D9085895-883B-40C9-B417-602E49236DE7}"/>
            </a:ext>
          </a:extLst>
        </xdr:cNvPr>
        <xdr:cNvCxnSpPr/>
      </xdr:nvCxnSpPr>
      <xdr:spPr>
        <a:xfrm flipH="1" flipV="1">
          <a:off x="7753350" y="1143001"/>
          <a:ext cx="619125" cy="1362074"/>
        </a:xfrm>
        <a:prstGeom prst="line">
          <a:avLst/>
        </a:prstGeom>
        <a:ln w="381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85725</xdr:colOff>
      <xdr:row>9</xdr:row>
      <xdr:rowOff>152400</xdr:rowOff>
    </xdr:from>
    <xdr:to>
      <xdr:col>15</xdr:col>
      <xdr:colOff>542925</xdr:colOff>
      <xdr:row>12</xdr:row>
      <xdr:rowOff>142875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465FF333-C54B-4D66-9B8B-436FF36435BF}"/>
            </a:ext>
          </a:extLst>
        </xdr:cNvPr>
        <xdr:cNvSpPr/>
      </xdr:nvSpPr>
      <xdr:spPr>
        <a:xfrm>
          <a:off x="7839075" y="1609725"/>
          <a:ext cx="457200" cy="476250"/>
        </a:xfrm>
        <a:prstGeom prst="ellipse">
          <a:avLst/>
        </a:prstGeom>
        <a:solidFill>
          <a:schemeClr val="bg1"/>
        </a:solidFill>
        <a:ln w="38100">
          <a:solidFill>
            <a:srgbClr val="FF0000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rtlCol="0" anchor="ctr" anchorCtr="0"/>
        <a:lstStyle/>
        <a:p>
          <a:pPr algn="l"/>
          <a:r>
            <a:rPr lang="hu-HU" sz="1200" b="1">
              <a:solidFill>
                <a:sysClr val="windowText" lastClr="000000"/>
              </a:solidFill>
            </a:rPr>
            <a:t>  80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304800</xdr:colOff>
      <xdr:row>15</xdr:row>
      <xdr:rowOff>104775</xdr:rowOff>
    </xdr:from>
    <xdr:to>
      <xdr:col>21</xdr:col>
      <xdr:colOff>304800</xdr:colOff>
      <xdr:row>21</xdr:row>
      <xdr:rowOff>9525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D3C0BF49-3C40-40F2-8AB3-C5EDEFFF9F1A}"/>
            </a:ext>
          </a:extLst>
        </xdr:cNvPr>
        <xdr:cNvCxnSpPr/>
      </xdr:nvCxnSpPr>
      <xdr:spPr>
        <a:xfrm flipV="1">
          <a:off x="11715750" y="2476500"/>
          <a:ext cx="0" cy="819150"/>
        </a:xfrm>
        <a:prstGeom prst="line">
          <a:avLst/>
        </a:prstGeom>
        <a:ln w="381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28576</xdr:colOff>
      <xdr:row>15</xdr:row>
      <xdr:rowOff>123824</xdr:rowOff>
    </xdr:from>
    <xdr:to>
      <xdr:col>21</xdr:col>
      <xdr:colOff>600076</xdr:colOff>
      <xdr:row>16</xdr:row>
      <xdr:rowOff>161924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D4875260-D8B9-48CB-B100-152AC4B7FF53}"/>
            </a:ext>
          </a:extLst>
        </xdr:cNvPr>
        <xdr:cNvSpPr/>
      </xdr:nvSpPr>
      <xdr:spPr>
        <a:xfrm>
          <a:off x="11439526" y="2495549"/>
          <a:ext cx="571500" cy="2000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hu-HU" sz="105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6h-16h</a:t>
          </a:r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23</xdr:col>
      <xdr:colOff>323850</xdr:colOff>
      <xdr:row>7</xdr:row>
      <xdr:rowOff>0</xdr:rowOff>
    </xdr:from>
    <xdr:to>
      <xdr:col>23</xdr:col>
      <xdr:colOff>323850</xdr:colOff>
      <xdr:row>12</xdr:row>
      <xdr:rowOff>9525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967D7452-D485-4034-9F2B-BE666121E180}"/>
            </a:ext>
          </a:extLst>
        </xdr:cNvPr>
        <xdr:cNvCxnSpPr/>
      </xdr:nvCxnSpPr>
      <xdr:spPr>
        <a:xfrm flipV="1">
          <a:off x="12954000" y="1133475"/>
          <a:ext cx="0" cy="819150"/>
        </a:xfrm>
        <a:prstGeom prst="line">
          <a:avLst/>
        </a:prstGeom>
        <a:ln w="381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123826</xdr:colOff>
      <xdr:row>7</xdr:row>
      <xdr:rowOff>19048</xdr:rowOff>
    </xdr:from>
    <xdr:to>
      <xdr:col>23</xdr:col>
      <xdr:colOff>514350</xdr:colOff>
      <xdr:row>10</xdr:row>
      <xdr:rowOff>9524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71A19E4E-0E22-4BCA-86B2-8015CBE3FD02}"/>
            </a:ext>
          </a:extLst>
        </xdr:cNvPr>
        <xdr:cNvSpPr/>
      </xdr:nvSpPr>
      <xdr:spPr>
        <a:xfrm>
          <a:off x="12753976" y="1152523"/>
          <a:ext cx="390524" cy="476251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hu-HU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*</a:t>
          </a:r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21</xdr:col>
      <xdr:colOff>85725</xdr:colOff>
      <xdr:row>12</xdr:row>
      <xdr:rowOff>47625</xdr:rowOff>
    </xdr:from>
    <xdr:to>
      <xdr:col>21</xdr:col>
      <xdr:colOff>542925</xdr:colOff>
      <xdr:row>15</xdr:row>
      <xdr:rowOff>95250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8B52047D-E23D-426A-AF55-27510F2504DF}"/>
            </a:ext>
          </a:extLst>
        </xdr:cNvPr>
        <xdr:cNvSpPr/>
      </xdr:nvSpPr>
      <xdr:spPr>
        <a:xfrm>
          <a:off x="11496675" y="1990725"/>
          <a:ext cx="457200" cy="476250"/>
        </a:xfrm>
        <a:prstGeom prst="ellipse">
          <a:avLst/>
        </a:prstGeom>
        <a:solidFill>
          <a:schemeClr val="bg1"/>
        </a:solidFill>
        <a:ln w="38100">
          <a:solidFill>
            <a:srgbClr val="FF0000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rtlCol="0" anchor="ctr" anchorCtr="0"/>
        <a:lstStyle/>
        <a:p>
          <a:pPr algn="l"/>
          <a:r>
            <a:rPr lang="hu-HU" sz="1200" b="1">
              <a:solidFill>
                <a:sysClr val="windowText" lastClr="000000"/>
              </a:solidFill>
            </a:rPr>
            <a:t>  80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23</xdr:col>
      <xdr:colOff>95250</xdr:colOff>
      <xdr:row>4</xdr:row>
      <xdr:rowOff>0</xdr:rowOff>
    </xdr:from>
    <xdr:to>
      <xdr:col>23</xdr:col>
      <xdr:colOff>552450</xdr:colOff>
      <xdr:row>6</xdr:row>
      <xdr:rowOff>152400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C73E9EB5-EF96-49C7-9F71-0CAC4BD091BD}"/>
            </a:ext>
          </a:extLst>
        </xdr:cNvPr>
        <xdr:cNvSpPr/>
      </xdr:nvSpPr>
      <xdr:spPr>
        <a:xfrm>
          <a:off x="12725400" y="647700"/>
          <a:ext cx="457200" cy="476250"/>
        </a:xfrm>
        <a:prstGeom prst="ellipse">
          <a:avLst/>
        </a:prstGeom>
        <a:solidFill>
          <a:schemeClr val="bg1"/>
        </a:solidFill>
        <a:ln w="38100">
          <a:solidFill>
            <a:srgbClr val="FF0000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rtlCol="0" anchor="ctr" anchorCtr="0"/>
        <a:lstStyle/>
        <a:p>
          <a:pPr algn="l"/>
          <a:r>
            <a:rPr lang="hu-HU" sz="1200" b="1">
              <a:solidFill>
                <a:sysClr val="windowText" lastClr="000000"/>
              </a:solidFill>
            </a:rPr>
            <a:t>  80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428625</xdr:colOff>
      <xdr:row>23</xdr:row>
      <xdr:rowOff>114301</xdr:rowOff>
    </xdr:from>
    <xdr:to>
      <xdr:col>18</xdr:col>
      <xdr:colOff>523875</xdr:colOff>
      <xdr:row>27</xdr:row>
      <xdr:rowOff>133350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1AC4D317-17B9-4BEB-B322-BF7AD2DC28CD}"/>
            </a:ext>
          </a:extLst>
        </xdr:cNvPr>
        <xdr:cNvCxnSpPr/>
      </xdr:nvCxnSpPr>
      <xdr:spPr>
        <a:xfrm flipH="1" flipV="1">
          <a:off x="8181975" y="3724276"/>
          <a:ext cx="1924050" cy="666749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419100</xdr:colOff>
      <xdr:row>23</xdr:row>
      <xdr:rowOff>47626</xdr:rowOff>
    </xdr:from>
    <xdr:to>
      <xdr:col>19</xdr:col>
      <xdr:colOff>152400</xdr:colOff>
      <xdr:row>27</xdr:row>
      <xdr:rowOff>123825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EF15404F-4CC8-4815-B334-BB2602A58293}"/>
            </a:ext>
          </a:extLst>
        </xdr:cNvPr>
        <xdr:cNvCxnSpPr/>
      </xdr:nvCxnSpPr>
      <xdr:spPr>
        <a:xfrm flipH="1" flipV="1">
          <a:off x="9391650" y="3657601"/>
          <a:ext cx="952500" cy="7238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285750</xdr:colOff>
      <xdr:row>23</xdr:row>
      <xdr:rowOff>38100</xdr:rowOff>
    </xdr:from>
    <xdr:to>
      <xdr:col>19</xdr:col>
      <xdr:colOff>304800</xdr:colOff>
      <xdr:row>27</xdr:row>
      <xdr:rowOff>142875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9713CACD-DFD4-485D-A8DA-F7A8352D4B12}"/>
            </a:ext>
          </a:extLst>
        </xdr:cNvPr>
        <xdr:cNvCxnSpPr/>
      </xdr:nvCxnSpPr>
      <xdr:spPr>
        <a:xfrm flipV="1">
          <a:off x="10477500" y="3648075"/>
          <a:ext cx="19050" cy="7524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447675</xdr:colOff>
      <xdr:row>23</xdr:row>
      <xdr:rowOff>47626</xdr:rowOff>
    </xdr:from>
    <xdr:to>
      <xdr:col>21</xdr:col>
      <xdr:colOff>257175</xdr:colOff>
      <xdr:row>27</xdr:row>
      <xdr:rowOff>133350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B0B4713F-C8D4-475B-82F6-1079EE426A79}"/>
            </a:ext>
          </a:extLst>
        </xdr:cNvPr>
        <xdr:cNvCxnSpPr/>
      </xdr:nvCxnSpPr>
      <xdr:spPr>
        <a:xfrm flipV="1">
          <a:off x="10639425" y="3657601"/>
          <a:ext cx="1028700" cy="7334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133350</xdr:colOff>
      <xdr:row>23</xdr:row>
      <xdr:rowOff>19050</xdr:rowOff>
    </xdr:from>
    <xdr:to>
      <xdr:col>23</xdr:col>
      <xdr:colOff>238125</xdr:colOff>
      <xdr:row>27</xdr:row>
      <xdr:rowOff>133350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356D7D5-0008-4A6B-9517-82721D0058B6}"/>
            </a:ext>
          </a:extLst>
        </xdr:cNvPr>
        <xdr:cNvCxnSpPr/>
      </xdr:nvCxnSpPr>
      <xdr:spPr>
        <a:xfrm flipV="1">
          <a:off x="10934700" y="3629025"/>
          <a:ext cx="1933575" cy="762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9</xdr:row>
      <xdr:rowOff>128589</xdr:rowOff>
    </xdr:from>
    <xdr:to>
      <xdr:col>14</xdr:col>
      <xdr:colOff>581028</xdr:colOff>
      <xdr:row>11</xdr:row>
      <xdr:rowOff>85729</xdr:rowOff>
    </xdr:to>
    <xdr:sp macro="" textlink="">
      <xdr:nvSpPr>
        <xdr:cNvPr id="22" name="Left Brace 21">
          <a:extLst>
            <a:ext uri="{FF2B5EF4-FFF2-40B4-BE49-F238E27FC236}">
              <a16:creationId xmlns:a16="http://schemas.microsoft.com/office/drawing/2014/main" id="{20093BC6-EF05-4AB2-85D5-6596713B9E0B}"/>
            </a:ext>
          </a:extLst>
        </xdr:cNvPr>
        <xdr:cNvSpPr/>
      </xdr:nvSpPr>
      <xdr:spPr>
        <a:xfrm rot="5400000">
          <a:off x="5769769" y="-88105"/>
          <a:ext cx="280990" cy="3629028"/>
        </a:xfrm>
        <a:prstGeom prst="leftBrace">
          <a:avLst/>
        </a:prstGeom>
        <a:ln w="1270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7</xdr:row>
      <xdr:rowOff>90489</xdr:rowOff>
    </xdr:from>
    <xdr:to>
      <xdr:col>17</xdr:col>
      <xdr:colOff>266700</xdr:colOff>
      <xdr:row>9</xdr:row>
      <xdr:rowOff>47625</xdr:rowOff>
    </xdr:to>
    <xdr:sp macro="" textlink="">
      <xdr:nvSpPr>
        <xdr:cNvPr id="23" name="Left Brace 22">
          <a:extLst>
            <a:ext uri="{FF2B5EF4-FFF2-40B4-BE49-F238E27FC236}">
              <a16:creationId xmlns:a16="http://schemas.microsoft.com/office/drawing/2014/main" id="{C5976A60-405F-4620-B0EB-0669D9F4E579}"/>
            </a:ext>
          </a:extLst>
        </xdr:cNvPr>
        <xdr:cNvSpPr/>
      </xdr:nvSpPr>
      <xdr:spPr>
        <a:xfrm rot="5400000">
          <a:off x="6527007" y="-1207293"/>
          <a:ext cx="280986" cy="5143500"/>
        </a:xfrm>
        <a:prstGeom prst="leftBrace">
          <a:avLst/>
        </a:prstGeom>
        <a:ln w="1270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104775</xdr:colOff>
      <xdr:row>2</xdr:row>
      <xdr:rowOff>104775</xdr:rowOff>
    </xdr:from>
    <xdr:to>
      <xdr:col>13</xdr:col>
      <xdr:colOff>123825</xdr:colOff>
      <xdr:row>6</xdr:row>
      <xdr:rowOff>123826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C230CC40-C903-4803-A6D0-E0109D957747}"/>
            </a:ext>
          </a:extLst>
        </xdr:cNvPr>
        <xdr:cNvCxnSpPr/>
      </xdr:nvCxnSpPr>
      <xdr:spPr>
        <a:xfrm flipH="1" flipV="1">
          <a:off x="6638925" y="428625"/>
          <a:ext cx="19050" cy="666751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590550</xdr:colOff>
      <xdr:row>2</xdr:row>
      <xdr:rowOff>123827</xdr:rowOff>
    </xdr:from>
    <xdr:to>
      <xdr:col>12</xdr:col>
      <xdr:colOff>581025</xdr:colOff>
      <xdr:row>8</xdr:row>
      <xdr:rowOff>142875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46C3F700-254D-47AC-AA14-27C5AC4FF89C}"/>
            </a:ext>
          </a:extLst>
        </xdr:cNvPr>
        <xdr:cNvCxnSpPr/>
      </xdr:nvCxnSpPr>
      <xdr:spPr>
        <a:xfrm flipV="1">
          <a:off x="5905500" y="447677"/>
          <a:ext cx="600075" cy="990598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5</xdr:row>
      <xdr:rowOff>52389</xdr:rowOff>
    </xdr:from>
    <xdr:to>
      <xdr:col>19</xdr:col>
      <xdr:colOff>295275</xdr:colOff>
      <xdr:row>7</xdr:row>
      <xdr:rowOff>9525</xdr:rowOff>
    </xdr:to>
    <xdr:sp macro="" textlink="">
      <xdr:nvSpPr>
        <xdr:cNvPr id="26" name="Left Brace 25">
          <a:extLst>
            <a:ext uri="{FF2B5EF4-FFF2-40B4-BE49-F238E27FC236}">
              <a16:creationId xmlns:a16="http://schemas.microsoft.com/office/drawing/2014/main" id="{5639CCD6-F782-4999-A5D1-19F8422FBAA5}"/>
            </a:ext>
          </a:extLst>
        </xdr:cNvPr>
        <xdr:cNvSpPr/>
      </xdr:nvSpPr>
      <xdr:spPr>
        <a:xfrm rot="5400000">
          <a:off x="7155657" y="-2188368"/>
          <a:ext cx="280986" cy="6381750"/>
        </a:xfrm>
        <a:prstGeom prst="leftBrace">
          <a:avLst/>
        </a:prstGeom>
        <a:ln w="1270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342901</xdr:colOff>
      <xdr:row>2</xdr:row>
      <xdr:rowOff>95253</xdr:rowOff>
    </xdr:from>
    <xdr:to>
      <xdr:col>14</xdr:col>
      <xdr:colOff>152400</xdr:colOff>
      <xdr:row>4</xdr:row>
      <xdr:rowOff>85725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A87FB704-38E8-47B1-9AF6-FFD21ADDC91F}"/>
            </a:ext>
          </a:extLst>
        </xdr:cNvPr>
        <xdr:cNvCxnSpPr/>
      </xdr:nvCxnSpPr>
      <xdr:spPr>
        <a:xfrm flipH="1" flipV="1">
          <a:off x="6877051" y="419103"/>
          <a:ext cx="419099" cy="314322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495300</xdr:colOff>
      <xdr:row>12</xdr:row>
      <xdr:rowOff>9525</xdr:rowOff>
    </xdr:from>
    <xdr:to>
      <xdr:col>15</xdr:col>
      <xdr:colOff>266701</xdr:colOff>
      <xdr:row>25</xdr:row>
      <xdr:rowOff>47625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4460E206-275E-4F96-85FA-790D80BD9262}"/>
            </a:ext>
          </a:extLst>
        </xdr:cNvPr>
        <xdr:cNvCxnSpPr/>
      </xdr:nvCxnSpPr>
      <xdr:spPr>
        <a:xfrm flipH="1">
          <a:off x="5810250" y="1952625"/>
          <a:ext cx="2209801" cy="2028825"/>
        </a:xfrm>
        <a:prstGeom prst="straightConnector1">
          <a:avLst/>
        </a:prstGeom>
        <a:ln>
          <a:solidFill>
            <a:srgbClr val="0000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161925</xdr:colOff>
      <xdr:row>14</xdr:row>
      <xdr:rowOff>76200</xdr:rowOff>
    </xdr:from>
    <xdr:to>
      <xdr:col>17</xdr:col>
      <xdr:colOff>238125</xdr:colOff>
      <xdr:row>25</xdr:row>
      <xdr:rowOff>85725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6FCDFD60-7A1C-442C-ACE3-64C7090772C1}"/>
            </a:ext>
          </a:extLst>
        </xdr:cNvPr>
        <xdr:cNvCxnSpPr/>
      </xdr:nvCxnSpPr>
      <xdr:spPr>
        <a:xfrm flipH="1">
          <a:off x="6086475" y="2343150"/>
          <a:ext cx="3124200" cy="1676400"/>
        </a:xfrm>
        <a:prstGeom prst="straightConnector1">
          <a:avLst/>
        </a:prstGeom>
        <a:ln>
          <a:solidFill>
            <a:srgbClr val="0000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600075</xdr:colOff>
      <xdr:row>5</xdr:row>
      <xdr:rowOff>57150</xdr:rowOff>
    </xdr:from>
    <xdr:to>
      <xdr:col>19</xdr:col>
      <xdr:colOff>314327</xdr:colOff>
      <xdr:row>25</xdr:row>
      <xdr:rowOff>66675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9F971876-B07B-4D6E-BD1B-84113304846D}"/>
            </a:ext>
          </a:extLst>
        </xdr:cNvPr>
        <xdr:cNvCxnSpPr/>
      </xdr:nvCxnSpPr>
      <xdr:spPr>
        <a:xfrm flipH="1">
          <a:off x="5915025" y="866775"/>
          <a:ext cx="4591052" cy="3133725"/>
        </a:xfrm>
        <a:prstGeom prst="straightConnector1">
          <a:avLst/>
        </a:prstGeom>
        <a:ln>
          <a:solidFill>
            <a:srgbClr val="0000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581025</xdr:colOff>
      <xdr:row>8</xdr:row>
      <xdr:rowOff>85725</xdr:rowOff>
    </xdr:from>
    <xdr:to>
      <xdr:col>24</xdr:col>
      <xdr:colOff>219075</xdr:colOff>
      <xdr:row>9</xdr:row>
      <xdr:rowOff>133350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81CE9B99-8FD0-4826-AAC2-E04CFDBAB3D5}"/>
            </a:ext>
          </a:extLst>
        </xdr:cNvPr>
        <xdr:cNvCxnSpPr/>
      </xdr:nvCxnSpPr>
      <xdr:spPr>
        <a:xfrm flipH="1" flipV="1">
          <a:off x="13211175" y="1381125"/>
          <a:ext cx="247650" cy="209550"/>
        </a:xfrm>
        <a:prstGeom prst="straightConnector1">
          <a:avLst/>
        </a:prstGeom>
        <a:ln>
          <a:solidFill>
            <a:srgbClr val="0000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17</xdr:row>
      <xdr:rowOff>28575</xdr:rowOff>
    </xdr:from>
    <xdr:to>
      <xdr:col>22</xdr:col>
      <xdr:colOff>247650</xdr:colOff>
      <xdr:row>18</xdr:row>
      <xdr:rowOff>66675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02D211BC-4FBB-4772-AC7E-6644CE95F35F}"/>
            </a:ext>
          </a:extLst>
        </xdr:cNvPr>
        <xdr:cNvCxnSpPr/>
      </xdr:nvCxnSpPr>
      <xdr:spPr>
        <a:xfrm flipH="1" flipV="1">
          <a:off x="12020550" y="2724150"/>
          <a:ext cx="247650" cy="209550"/>
        </a:xfrm>
        <a:prstGeom prst="straightConnector1">
          <a:avLst/>
        </a:prstGeom>
        <a:ln>
          <a:solidFill>
            <a:srgbClr val="0000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31</xdr:row>
      <xdr:rowOff>47625</xdr:rowOff>
    </xdr:from>
    <xdr:to>
      <xdr:col>18</xdr:col>
      <xdr:colOff>295275</xdr:colOff>
      <xdr:row>33</xdr:row>
      <xdr:rowOff>42864</xdr:rowOff>
    </xdr:to>
    <xdr:sp macro="" textlink="">
      <xdr:nvSpPr>
        <xdr:cNvPr id="33" name="Left Brace 32">
          <a:extLst>
            <a:ext uri="{FF2B5EF4-FFF2-40B4-BE49-F238E27FC236}">
              <a16:creationId xmlns:a16="http://schemas.microsoft.com/office/drawing/2014/main" id="{633D0F76-C6EA-41CD-B1B8-154F27ED7208}"/>
            </a:ext>
          </a:extLst>
        </xdr:cNvPr>
        <xdr:cNvSpPr/>
      </xdr:nvSpPr>
      <xdr:spPr>
        <a:xfrm rot="5400000" flipH="1">
          <a:off x="6831805" y="2226470"/>
          <a:ext cx="319089" cy="5772150"/>
        </a:xfrm>
        <a:prstGeom prst="leftBrace">
          <a:avLst>
            <a:gd name="adj1" fmla="val 0"/>
            <a:gd name="adj2" fmla="val 50000"/>
          </a:avLst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9525</xdr:colOff>
      <xdr:row>16</xdr:row>
      <xdr:rowOff>76200</xdr:rowOff>
    </xdr:from>
    <xdr:to>
      <xdr:col>9</xdr:col>
      <xdr:colOff>581025</xdr:colOff>
      <xdr:row>16</xdr:row>
      <xdr:rowOff>76200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5F10B846-5B08-4B64-96BF-BC1BF125027C}"/>
            </a:ext>
          </a:extLst>
        </xdr:cNvPr>
        <xdr:cNvCxnSpPr/>
      </xdr:nvCxnSpPr>
      <xdr:spPr>
        <a:xfrm>
          <a:off x="4105275" y="2609850"/>
          <a:ext cx="571500" cy="0"/>
        </a:xfrm>
        <a:prstGeom prst="straightConnector1">
          <a:avLst/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42</xdr:row>
      <xdr:rowOff>123825</xdr:rowOff>
    </xdr:from>
    <xdr:to>
      <xdr:col>11</xdr:col>
      <xdr:colOff>181271</xdr:colOff>
      <xdr:row>87</xdr:row>
      <xdr:rowOff>138589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4D89A4-7E7F-4FFD-BF82-09B83F83F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" y="7038975"/>
          <a:ext cx="10134896" cy="730138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304800</xdr:colOff>
      <xdr:row>2</xdr:row>
      <xdr:rowOff>38100</xdr:rowOff>
    </xdr:from>
    <xdr:to>
      <xdr:col>11</xdr:col>
      <xdr:colOff>701040</xdr:colOff>
      <xdr:row>16</xdr:row>
      <xdr:rowOff>53340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D4DE63B3-F761-4A1E-A56B-6DBBBB8F923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29675" y="381000"/>
          <a:ext cx="3552825" cy="2409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inside-docupedia.bosch.com/confluence/display/JLRSoSReApps/JLRMY2X+-+9.+Design+Decisions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sourcecode01.de.bosch.com/projects/PJPH/repos/test_vteststudio_multiecu_hil/browse/vTestStudio" TargetMode="External"/><Relationship Id="rId1" Type="http://schemas.openxmlformats.org/officeDocument/2006/relationships/hyperlink" Target="https://rb-alm-06-p.de.bosch.com/qm/web/console/PJ-AD%20(qm)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workbookViewId="0">
      <selection activeCell="A3" sqref="A3:D22"/>
    </sheetView>
  </sheetViews>
  <sheetFormatPr baseColWidth="10" defaultColWidth="11.44140625" defaultRowHeight="13.2" x14ac:dyDescent="0.25"/>
  <cols>
    <col min="1" max="1" width="40.109375" customWidth="1"/>
    <col min="2" max="2" width="25.6640625" customWidth="1"/>
    <col min="3" max="3" width="19" bestFit="1" customWidth="1"/>
    <col min="4" max="4" width="18.33203125" bestFit="1" customWidth="1"/>
    <col min="5" max="5" width="20" bestFit="1" customWidth="1"/>
    <col min="6" max="6" width="19.33203125" bestFit="1" customWidth="1"/>
    <col min="7" max="7" width="8.6640625" bestFit="1" customWidth="1"/>
  </cols>
  <sheetData>
    <row r="1" spans="1:6" x14ac:dyDescent="0.25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</row>
    <row r="2" spans="1:6" x14ac:dyDescent="0.25">
      <c r="A2" t="s">
        <v>100</v>
      </c>
      <c r="B2">
        <f>SUM(C2:F2)</f>
        <v>60</v>
      </c>
      <c r="C2">
        <v>40</v>
      </c>
      <c r="E2">
        <v>20</v>
      </c>
    </row>
    <row r="3" spans="1:6" x14ac:dyDescent="0.25">
      <c r="A3" t="s">
        <v>101</v>
      </c>
      <c r="C3">
        <f>5*10*12</f>
        <v>600</v>
      </c>
    </row>
    <row r="4" spans="1:6" x14ac:dyDescent="0.25">
      <c r="A4" t="s">
        <v>102</v>
      </c>
      <c r="B4">
        <f>SUM(C4:F4)</f>
        <v>4250</v>
      </c>
      <c r="C4">
        <f>5*170*5</f>
        <v>4250</v>
      </c>
    </row>
    <row r="5" spans="1:6" x14ac:dyDescent="0.25">
      <c r="A5" t="s">
        <v>103</v>
      </c>
      <c r="B5">
        <f t="shared" ref="B5:B12" si="0">SUM(C5:F5)</f>
        <v>120</v>
      </c>
      <c r="C5">
        <f>12*10</f>
        <v>120</v>
      </c>
    </row>
    <row r="6" spans="1:6" x14ac:dyDescent="0.25">
      <c r="A6" t="s">
        <v>104</v>
      </c>
      <c r="B6">
        <f t="shared" si="0"/>
        <v>40</v>
      </c>
      <c r="C6">
        <f>8*5</f>
        <v>40</v>
      </c>
    </row>
    <row r="7" spans="1:6" x14ac:dyDescent="0.25">
      <c r="A7" t="s">
        <v>105</v>
      </c>
      <c r="B7">
        <f t="shared" si="0"/>
        <v>280</v>
      </c>
      <c r="C7">
        <f>8*5*7</f>
        <v>280</v>
      </c>
    </row>
    <row r="8" spans="1:6" x14ac:dyDescent="0.25">
      <c r="A8" t="s">
        <v>106</v>
      </c>
      <c r="B8">
        <f t="shared" si="0"/>
        <v>300</v>
      </c>
      <c r="C8">
        <f>10*30</f>
        <v>300</v>
      </c>
    </row>
    <row r="9" spans="1:6" x14ac:dyDescent="0.25">
      <c r="A9" t="s">
        <v>107</v>
      </c>
      <c r="B9">
        <f t="shared" si="0"/>
        <v>80</v>
      </c>
      <c r="C9">
        <v>40</v>
      </c>
      <c r="D9">
        <v>40</v>
      </c>
    </row>
    <row r="10" spans="1:6" x14ac:dyDescent="0.25">
      <c r="A10" t="s">
        <v>108</v>
      </c>
      <c r="B10">
        <f t="shared" si="0"/>
        <v>240</v>
      </c>
      <c r="C10">
        <f>20*12</f>
        <v>240</v>
      </c>
    </row>
    <row r="11" spans="1:6" x14ac:dyDescent="0.25">
      <c r="A11" t="s">
        <v>109</v>
      </c>
      <c r="B11">
        <f t="shared" si="0"/>
        <v>240</v>
      </c>
      <c r="C11">
        <f>20*12</f>
        <v>240</v>
      </c>
    </row>
    <row r="12" spans="1:6" x14ac:dyDescent="0.25">
      <c r="A12" t="s">
        <v>110</v>
      </c>
      <c r="B12">
        <f t="shared" si="0"/>
        <v>20</v>
      </c>
      <c r="C12">
        <v>20</v>
      </c>
    </row>
    <row r="13" spans="1:6" x14ac:dyDescent="0.25">
      <c r="A13" t="s">
        <v>111</v>
      </c>
      <c r="B13">
        <f>SUM(C13:F13)/10</f>
        <v>20</v>
      </c>
      <c r="F13">
        <v>200</v>
      </c>
    </row>
    <row r="14" spans="1:6" x14ac:dyDescent="0.25">
      <c r="A14" t="s">
        <v>112</v>
      </c>
      <c r="B14">
        <f>SUM(C14:F14)/10</f>
        <v>200</v>
      </c>
      <c r="D14">
        <v>2000</v>
      </c>
    </row>
    <row r="16" spans="1:6" x14ac:dyDescent="0.25">
      <c r="A16" t="s">
        <v>113</v>
      </c>
      <c r="B16">
        <f>SUM(B2:B14)</f>
        <v>5850</v>
      </c>
    </row>
    <row r="17" spans="1:4" x14ac:dyDescent="0.25">
      <c r="A17" t="s">
        <v>114</v>
      </c>
      <c r="B17">
        <f>SUM(B5:B14)+C3+B2</f>
        <v>2200</v>
      </c>
    </row>
    <row r="19" spans="1:4" x14ac:dyDescent="0.25">
      <c r="A19" t="s">
        <v>115</v>
      </c>
    </row>
    <row r="20" spans="1:4" x14ac:dyDescent="0.25">
      <c r="A20" t="s">
        <v>116</v>
      </c>
      <c r="B20" s="5" t="s">
        <v>117</v>
      </c>
    </row>
    <row r="21" spans="1:4" x14ac:dyDescent="0.25">
      <c r="A21" t="s">
        <v>118</v>
      </c>
      <c r="B21" s="2" t="s">
        <v>119</v>
      </c>
    </row>
    <row r="22" spans="1:4" x14ac:dyDescent="0.25">
      <c r="A22" t="s">
        <v>120</v>
      </c>
      <c r="B22" s="21" t="s">
        <v>121</v>
      </c>
    </row>
    <row r="23" spans="1:4" x14ac:dyDescent="0.25">
      <c r="A23" t="s">
        <v>122</v>
      </c>
      <c r="B23" s="5" t="s">
        <v>117</v>
      </c>
    </row>
    <row r="26" spans="1:4" x14ac:dyDescent="0.25">
      <c r="A26" t="s">
        <v>123</v>
      </c>
      <c r="B26" t="s">
        <v>95</v>
      </c>
      <c r="C26" t="s">
        <v>124</v>
      </c>
      <c r="D26" t="s">
        <v>125</v>
      </c>
    </row>
    <row r="27" spans="1:4" x14ac:dyDescent="0.25">
      <c r="A27" t="s">
        <v>126</v>
      </c>
      <c r="C27">
        <f>16*100</f>
        <v>1600</v>
      </c>
    </row>
    <row r="28" spans="1:4" x14ac:dyDescent="0.25">
      <c r="A28" t="s">
        <v>127</v>
      </c>
      <c r="C28">
        <f t="shared" ref="C28:C31" si="1">16*100</f>
        <v>1600</v>
      </c>
    </row>
    <row r="29" spans="1:4" x14ac:dyDescent="0.25">
      <c r="A29" t="s">
        <v>128</v>
      </c>
      <c r="C29">
        <f t="shared" si="1"/>
        <v>1600</v>
      </c>
    </row>
    <row r="30" spans="1:4" x14ac:dyDescent="0.25">
      <c r="A30" t="s">
        <v>129</v>
      </c>
      <c r="C30">
        <f t="shared" si="1"/>
        <v>1600</v>
      </c>
    </row>
    <row r="31" spans="1:4" x14ac:dyDescent="0.25">
      <c r="A31" t="s">
        <v>130</v>
      </c>
      <c r="C31">
        <f t="shared" si="1"/>
        <v>1600</v>
      </c>
    </row>
    <row r="32" spans="1:4" x14ac:dyDescent="0.25">
      <c r="A32" t="s">
        <v>131</v>
      </c>
      <c r="C32">
        <f>170*20</f>
        <v>3400</v>
      </c>
    </row>
    <row r="33" spans="1:4" x14ac:dyDescent="0.25">
      <c r="A33" t="s">
        <v>132</v>
      </c>
      <c r="C33">
        <f t="shared" ref="C33:C36" si="2">170*20</f>
        <v>3400</v>
      </c>
    </row>
    <row r="34" spans="1:4" x14ac:dyDescent="0.25">
      <c r="A34" t="s">
        <v>133</v>
      </c>
      <c r="C34">
        <f t="shared" si="2"/>
        <v>3400</v>
      </c>
    </row>
    <row r="35" spans="1:4" x14ac:dyDescent="0.25">
      <c r="A35" t="s">
        <v>134</v>
      </c>
      <c r="C35">
        <f t="shared" si="2"/>
        <v>3400</v>
      </c>
    </row>
    <row r="36" spans="1:4" x14ac:dyDescent="0.25">
      <c r="A36" t="s">
        <v>135</v>
      </c>
      <c r="C36">
        <f t="shared" si="2"/>
        <v>3400</v>
      </c>
    </row>
    <row r="37" spans="1:4" x14ac:dyDescent="0.25">
      <c r="A37" t="s">
        <v>136</v>
      </c>
      <c r="D37">
        <f>4*100</f>
        <v>400</v>
      </c>
    </row>
    <row r="38" spans="1:4" x14ac:dyDescent="0.25">
      <c r="A38" t="s">
        <v>137</v>
      </c>
      <c r="D38">
        <f>800*4</f>
        <v>3200</v>
      </c>
    </row>
    <row r="39" spans="1:4" x14ac:dyDescent="0.25">
      <c r="A39" t="s">
        <v>138</v>
      </c>
      <c r="D39">
        <f>100*4</f>
        <v>400</v>
      </c>
    </row>
    <row r="41" spans="1:4" x14ac:dyDescent="0.25">
      <c r="A41" t="s">
        <v>139</v>
      </c>
      <c r="C41">
        <f>SUM(C32:C36)</f>
        <v>17000</v>
      </c>
      <c r="D41">
        <f>SUM(D37:D39)</f>
        <v>4000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N62"/>
  <sheetViews>
    <sheetView zoomScale="85" zoomScaleNormal="85" workbookViewId="0">
      <selection activeCell="H10" sqref="H10:AV10"/>
    </sheetView>
  </sheetViews>
  <sheetFormatPr baseColWidth="10" defaultColWidth="9.109375" defaultRowHeight="26.25" customHeight="1" x14ac:dyDescent="0.25"/>
  <cols>
    <col min="1" max="1" width="16" style="1" customWidth="1"/>
    <col min="2" max="3" width="7.109375" style="1" customWidth="1"/>
    <col min="4" max="4" width="4.109375" style="1" customWidth="1"/>
    <col min="5" max="6" width="7.109375" style="1" customWidth="1"/>
    <col min="7" max="7" width="3.88671875" style="1" customWidth="1"/>
    <col min="8" max="9" width="7.109375" style="1" customWidth="1"/>
    <col min="10" max="10" width="3.44140625" style="1" customWidth="1"/>
    <col min="11" max="12" width="7.109375" style="1" customWidth="1"/>
    <col min="13" max="13" width="2.6640625" style="1" customWidth="1"/>
    <col min="14" max="15" width="7.109375" style="1" customWidth="1"/>
    <col min="16" max="16" width="2.44140625" style="1" customWidth="1"/>
    <col min="17" max="18" width="7.109375" style="1" customWidth="1"/>
    <col min="19" max="19" width="3.6640625" style="1" customWidth="1"/>
    <col min="20" max="21" width="7.109375" style="1" customWidth="1"/>
    <col min="22" max="22" width="2.6640625" style="1" customWidth="1"/>
    <col min="23" max="24" width="7.109375" style="1" customWidth="1"/>
    <col min="25" max="25" width="2.88671875" style="1" customWidth="1"/>
    <col min="26" max="27" width="7.109375" style="1" customWidth="1"/>
    <col min="28" max="28" width="3.44140625" style="1" customWidth="1"/>
    <col min="29" max="30" width="7.109375" style="1" customWidth="1"/>
    <col min="31" max="31" width="3" style="1" customWidth="1"/>
    <col min="32" max="33" width="7.109375" style="1" customWidth="1"/>
    <col min="34" max="34" width="3.109375" style="1" customWidth="1"/>
    <col min="35" max="35" width="7.109375" style="1" customWidth="1"/>
    <col min="36" max="36" width="8.33203125" style="1" customWidth="1"/>
    <col min="37" max="37" width="3.6640625" style="1" customWidth="1"/>
    <col min="38" max="39" width="8.33203125" style="1" customWidth="1"/>
    <col min="40" max="40" width="3.88671875" style="1" customWidth="1"/>
    <col min="41" max="42" width="7.109375" style="1" customWidth="1"/>
    <col min="43" max="43" width="3.33203125" style="1" customWidth="1"/>
    <col min="44" max="45" width="7.109375" style="1" customWidth="1"/>
    <col min="46" max="46" width="3" style="1" customWidth="1"/>
    <col min="47" max="48" width="7.109375" style="1" customWidth="1"/>
    <col min="49" max="49" width="2.109375" style="1" customWidth="1"/>
    <col min="50" max="50" width="7.109375" style="1" customWidth="1"/>
    <col min="51" max="51" width="8" style="1" customWidth="1"/>
    <col min="52" max="52" width="2.44140625" style="1" customWidth="1"/>
    <col min="53" max="53" width="7.109375" style="1" customWidth="1"/>
    <col min="54" max="54" width="8" style="1" customWidth="1"/>
    <col min="55" max="55" width="2" style="1" customWidth="1"/>
    <col min="56" max="57" width="7.109375" style="1" customWidth="1"/>
    <col min="58" max="58" width="2.33203125" style="1" customWidth="1"/>
    <col min="59" max="16384" width="9.109375" style="1"/>
  </cols>
  <sheetData>
    <row r="1" spans="1:66" ht="26.25" customHeight="1" x14ac:dyDescent="0.25">
      <c r="A1" s="14" t="s">
        <v>32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</row>
    <row r="2" spans="1:66" ht="36" customHeight="1" x14ac:dyDescent="0.25">
      <c r="A2" s="12" t="s">
        <v>33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</row>
    <row r="3" spans="1:66" ht="45.6" customHeight="1" x14ac:dyDescent="0.25">
      <c r="A3" s="13" t="s">
        <v>34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</row>
    <row r="4" spans="1:66" ht="63" customHeight="1" x14ac:dyDescent="0.25">
      <c r="A4" s="15" t="s">
        <v>36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</row>
    <row r="5" spans="1:66" ht="49.95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</row>
    <row r="6" spans="1:66" ht="42.6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</row>
    <row r="7" spans="1:66" ht="41.4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</row>
    <row r="8" spans="1:66" ht="39.6" customHeight="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</row>
    <row r="9" spans="1:66" ht="63.6" customHeight="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</row>
    <row r="10" spans="1:66" ht="33" customHeight="1" x14ac:dyDescent="0.25">
      <c r="A10" s="11" t="s">
        <v>31</v>
      </c>
      <c r="B10" s="54" t="s">
        <v>30</v>
      </c>
      <c r="C10" s="54"/>
      <c r="D10" s="6"/>
      <c r="E10" s="54" t="s">
        <v>29</v>
      </c>
      <c r="F10" s="54"/>
      <c r="G10" s="6"/>
      <c r="H10" s="54" t="s">
        <v>28</v>
      </c>
      <c r="I10" s="54"/>
      <c r="J10" s="6"/>
      <c r="K10" s="54" t="s">
        <v>27</v>
      </c>
      <c r="L10" s="54"/>
      <c r="M10" s="6"/>
      <c r="N10" s="54" t="s">
        <v>26</v>
      </c>
      <c r="O10" s="54"/>
      <c r="P10" s="6"/>
      <c r="Q10" s="54" t="s">
        <v>25</v>
      </c>
      <c r="R10" s="54"/>
      <c r="S10" s="10"/>
      <c r="T10" s="54" t="s">
        <v>24</v>
      </c>
      <c r="U10" s="54"/>
      <c r="V10" s="10"/>
      <c r="W10" s="54" t="s">
        <v>23</v>
      </c>
      <c r="X10" s="54"/>
      <c r="Y10" s="10"/>
      <c r="Z10" s="54" t="s">
        <v>22</v>
      </c>
      <c r="AA10" s="54"/>
      <c r="AB10" s="10"/>
      <c r="AC10" s="54" t="s">
        <v>21</v>
      </c>
      <c r="AD10" s="54"/>
      <c r="AE10" s="10"/>
      <c r="AF10" s="54" t="s">
        <v>20</v>
      </c>
      <c r="AG10" s="54"/>
      <c r="AH10" s="10"/>
      <c r="AI10" s="56" t="s">
        <v>19</v>
      </c>
      <c r="AJ10" s="57"/>
      <c r="AK10" s="6"/>
      <c r="AL10" s="56" t="s">
        <v>18</v>
      </c>
      <c r="AM10" s="57"/>
      <c r="AN10" s="6"/>
      <c r="AO10" s="56" t="s">
        <v>35</v>
      </c>
      <c r="AP10" s="57"/>
      <c r="AQ10" s="6"/>
      <c r="AR10" s="54" t="s">
        <v>17</v>
      </c>
      <c r="AS10" s="54"/>
      <c r="AT10" s="6"/>
      <c r="AU10" s="54" t="s">
        <v>16</v>
      </c>
      <c r="AV10" s="54"/>
      <c r="AW10" s="6"/>
      <c r="AX10" s="54" t="s">
        <v>90</v>
      </c>
      <c r="AY10" s="54"/>
      <c r="AZ10" s="6"/>
      <c r="BA10" s="54" t="s">
        <v>37</v>
      </c>
      <c r="BB10" s="54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</row>
    <row r="11" spans="1:66" ht="13.5" customHeight="1" x14ac:dyDescent="0.25">
      <c r="A11" s="6"/>
      <c r="B11" s="6" t="s">
        <v>0</v>
      </c>
      <c r="C11" s="6" t="s">
        <v>15</v>
      </c>
      <c r="D11" s="6"/>
      <c r="E11" s="6" t="s">
        <v>0</v>
      </c>
      <c r="F11" s="6" t="s">
        <v>15</v>
      </c>
      <c r="G11" s="6"/>
      <c r="H11" s="6" t="s">
        <v>0</v>
      </c>
      <c r="I11" s="6" t="s">
        <v>15</v>
      </c>
      <c r="J11" s="6"/>
      <c r="K11" s="6" t="s">
        <v>0</v>
      </c>
      <c r="L11" s="6" t="s">
        <v>15</v>
      </c>
      <c r="M11" s="6"/>
      <c r="N11" s="6" t="s">
        <v>0</v>
      </c>
      <c r="O11" s="6" t="s">
        <v>15</v>
      </c>
      <c r="P11" s="6"/>
      <c r="Q11" s="6" t="s">
        <v>0</v>
      </c>
      <c r="R11" s="6" t="s">
        <v>15</v>
      </c>
      <c r="S11" s="6"/>
      <c r="T11" s="6" t="s">
        <v>0</v>
      </c>
      <c r="U11" s="6" t="s">
        <v>15</v>
      </c>
      <c r="V11" s="6"/>
      <c r="W11" s="6" t="s">
        <v>0</v>
      </c>
      <c r="X11" s="6" t="s">
        <v>15</v>
      </c>
      <c r="Y11" s="6"/>
      <c r="Z11" s="6" t="s">
        <v>0</v>
      </c>
      <c r="AA11" s="6" t="s">
        <v>15</v>
      </c>
      <c r="AB11" s="6"/>
      <c r="AC11" s="6" t="s">
        <v>0</v>
      </c>
      <c r="AD11" s="6" t="s">
        <v>15</v>
      </c>
      <c r="AE11" s="6"/>
      <c r="AF11" s="6" t="s">
        <v>0</v>
      </c>
      <c r="AG11" s="6" t="s">
        <v>15</v>
      </c>
      <c r="AH11" s="6"/>
      <c r="AI11" s="6" t="s">
        <v>0</v>
      </c>
      <c r="AJ11" s="6" t="s">
        <v>15</v>
      </c>
      <c r="AK11" s="6"/>
      <c r="AL11" s="6" t="s">
        <v>0</v>
      </c>
      <c r="AM11" s="6" t="s">
        <v>15</v>
      </c>
      <c r="AN11" s="6"/>
      <c r="AO11" s="6" t="s">
        <v>0</v>
      </c>
      <c r="AP11" s="6" t="s">
        <v>15</v>
      </c>
      <c r="AQ11" s="6"/>
      <c r="AR11" s="6" t="s">
        <v>0</v>
      </c>
      <c r="AS11" s="6" t="s">
        <v>15</v>
      </c>
      <c r="AT11" s="6"/>
      <c r="AU11" s="6" t="s">
        <v>0</v>
      </c>
      <c r="AV11" s="6" t="s">
        <v>15</v>
      </c>
      <c r="AW11" s="6"/>
      <c r="AX11" s="6" t="s">
        <v>0</v>
      </c>
      <c r="AY11" s="6" t="s">
        <v>15</v>
      </c>
      <c r="AZ11" s="6"/>
      <c r="BA11" s="6" t="s">
        <v>0</v>
      </c>
      <c r="BB11" s="6" t="s">
        <v>15</v>
      </c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</row>
    <row r="12" spans="1:66" ht="13.2" x14ac:dyDescent="0.25">
      <c r="A12" s="6" t="s">
        <v>14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</row>
    <row r="13" spans="1:66" ht="13.2" x14ac:dyDescent="0.25">
      <c r="A13" s="6" t="s">
        <v>13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</row>
    <row r="14" spans="1:66" ht="13.2" x14ac:dyDescent="0.25">
      <c r="A14" s="6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</row>
    <row r="15" spans="1:66" ht="13.2" x14ac:dyDescent="0.25">
      <c r="A15" s="6" t="s">
        <v>11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</row>
    <row r="16" spans="1:66" ht="13.2" x14ac:dyDescent="0.25">
      <c r="A16" s="6" t="s">
        <v>10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</row>
    <row r="17" spans="1:66" ht="13.2" x14ac:dyDescent="0.25">
      <c r="A17" s="6" t="s">
        <v>9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</row>
    <row r="18" spans="1:66" ht="13.2" x14ac:dyDescent="0.25">
      <c r="A18" s="6" t="s">
        <v>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</row>
    <row r="19" spans="1:66" ht="13.2" x14ac:dyDescent="0.25">
      <c r="A19" s="6" t="s">
        <v>7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</row>
    <row r="20" spans="1:66" ht="13.2" x14ac:dyDescent="0.25">
      <c r="A20" s="6" t="s">
        <v>6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</row>
    <row r="21" spans="1:66" ht="13.2" x14ac:dyDescent="0.25">
      <c r="A21" s="6" t="s">
        <v>5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</row>
    <row r="22" spans="1:66" s="7" customFormat="1" ht="41.4" x14ac:dyDescent="0.25">
      <c r="A22" s="6" t="s">
        <v>4</v>
      </c>
      <c r="B22" s="55"/>
      <c r="C22" s="55"/>
      <c r="D22" s="9"/>
      <c r="E22" s="55"/>
      <c r="F22" s="55"/>
      <c r="G22" s="9"/>
      <c r="H22" s="55"/>
      <c r="I22" s="55"/>
      <c r="J22" s="9"/>
      <c r="K22" s="55" t="s">
        <v>3</v>
      </c>
      <c r="L22" s="55"/>
      <c r="M22" s="9"/>
      <c r="N22" s="55"/>
      <c r="O22" s="55"/>
      <c r="P22" s="8"/>
      <c r="Q22" s="55"/>
      <c r="R22" s="55"/>
      <c r="S22" s="9"/>
      <c r="T22" s="6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58" t="s">
        <v>2</v>
      </c>
      <c r="AK22" s="58"/>
      <c r="AL22" s="9"/>
      <c r="AM22" s="8" t="s">
        <v>1</v>
      </c>
      <c r="AO22" s="8"/>
      <c r="AQ22" s="9"/>
      <c r="AR22" s="55"/>
      <c r="AS22" s="55"/>
      <c r="AT22" s="9"/>
      <c r="AU22" s="55"/>
      <c r="AV22" s="55"/>
      <c r="AW22" s="9"/>
      <c r="AX22" s="55"/>
      <c r="AY22" s="55"/>
      <c r="AZ22" s="9"/>
      <c r="BA22" s="55"/>
      <c r="BB22" s="55"/>
      <c r="BC22" s="9"/>
      <c r="BD22" s="9"/>
      <c r="BE22" s="9"/>
      <c r="BF22" s="9"/>
      <c r="BG22" s="8"/>
      <c r="BH22" s="8"/>
      <c r="BI22" s="9"/>
      <c r="BJ22" s="9"/>
      <c r="BK22" s="9"/>
      <c r="BL22" s="8"/>
      <c r="BM22" s="8"/>
      <c r="BN22" s="8"/>
    </row>
    <row r="23" spans="1:66" ht="13.5" customHeight="1" x14ac:dyDescent="0.25">
      <c r="A23" s="6" t="s">
        <v>92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</row>
    <row r="24" spans="1:66" ht="13.5" customHeight="1" x14ac:dyDescent="0.25">
      <c r="A24" s="4" t="s">
        <v>91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</row>
    <row r="25" spans="1:66" ht="26.2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</row>
    <row r="26" spans="1:66" ht="13.2" x14ac:dyDescent="0.25">
      <c r="A26" s="20" t="s">
        <v>93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</row>
    <row r="27" spans="1:66" ht="26.2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</row>
    <row r="28" spans="1:66" ht="26.2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</row>
    <row r="29" spans="1:66" ht="26.2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</row>
    <row r="30" spans="1:66" ht="26.2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</row>
    <row r="31" spans="1:66" ht="26.2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</row>
    <row r="32" spans="1:66" ht="26.2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</row>
    <row r="33" spans="1:66" ht="26.2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</row>
    <row r="34" spans="1:66" ht="26.2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</row>
    <row r="35" spans="1:66" ht="26.2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</row>
    <row r="36" spans="1:66" ht="26.2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</row>
    <row r="37" spans="1:66" ht="26.2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</row>
    <row r="38" spans="1:66" ht="26.2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</row>
    <row r="39" spans="1:66" ht="26.2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</row>
    <row r="40" spans="1:66" ht="26.2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</row>
    <row r="41" spans="1:66" ht="26.2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</row>
    <row r="42" spans="1:66" ht="26.2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</row>
    <row r="43" spans="1:66" ht="26.2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</row>
    <row r="44" spans="1:66" ht="26.2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</row>
    <row r="45" spans="1:66" ht="26.2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</row>
    <row r="46" spans="1:66" ht="26.2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</row>
    <row r="47" spans="1:66" ht="26.2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</row>
    <row r="48" spans="1:66" ht="26.2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</row>
    <row r="49" spans="1:66" ht="26.2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</row>
    <row r="50" spans="1:66" ht="26.2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</row>
    <row r="51" spans="1:66" ht="26.2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</row>
    <row r="52" spans="1:66" ht="26.2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</row>
    <row r="53" spans="1:66" ht="26.2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</row>
    <row r="54" spans="1:66" ht="26.2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</row>
    <row r="55" spans="1:66" ht="26.2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</row>
    <row r="56" spans="1:66" ht="26.2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</row>
    <row r="57" spans="1:66" ht="26.2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</row>
    <row r="58" spans="1:66" ht="26.2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</row>
    <row r="59" spans="1:66" ht="26.2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</row>
    <row r="60" spans="1:66" ht="26.2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</row>
    <row r="61" spans="1:66" ht="26.2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</row>
    <row r="62" spans="1:66" ht="26.2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</row>
  </sheetData>
  <mergeCells count="29">
    <mergeCell ref="AR10:AS10"/>
    <mergeCell ref="AU10:AV10"/>
    <mergeCell ref="B22:C22"/>
    <mergeCell ref="E22:F22"/>
    <mergeCell ref="AC10:AD10"/>
    <mergeCell ref="AF10:AG10"/>
    <mergeCell ref="W10:X10"/>
    <mergeCell ref="Z10:AA10"/>
    <mergeCell ref="B10:C10"/>
    <mergeCell ref="E10:F10"/>
    <mergeCell ref="H10:I10"/>
    <mergeCell ref="K10:L10"/>
    <mergeCell ref="N10:O10"/>
    <mergeCell ref="AX10:AY10"/>
    <mergeCell ref="AX22:AY22"/>
    <mergeCell ref="BA10:BB10"/>
    <mergeCell ref="BA22:BB22"/>
    <mergeCell ref="H22:I22"/>
    <mergeCell ref="K22:L22"/>
    <mergeCell ref="N22:O22"/>
    <mergeCell ref="AL10:AM10"/>
    <mergeCell ref="T10:U10"/>
    <mergeCell ref="AI10:AJ10"/>
    <mergeCell ref="Q22:R22"/>
    <mergeCell ref="AJ22:AK22"/>
    <mergeCell ref="Q10:R10"/>
    <mergeCell ref="AR22:AS22"/>
    <mergeCell ref="AU22:AV22"/>
    <mergeCell ref="AO10:AP10"/>
  </mergeCells>
  <hyperlinks>
    <hyperlink ref="A24" r:id="rId1" display="https://inside-docupedia.bosch.com/confluence/display/JLRSoSReApps/JLRMY2X+-+9.+Design+Decisions" xr:uid="{00000000-0004-0000-0100-000000000000}"/>
  </hyperlinks>
  <pageMargins left="0.7" right="0.7" top="0.75" bottom="0.75" header="0.3" footer="0.3"/>
  <pageSetup paperSize="9" orientation="portrait" horizontalDpi="30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1"/>
  <sheetViews>
    <sheetView topLeftCell="A7" workbookViewId="0">
      <selection activeCell="D31" sqref="D31"/>
    </sheetView>
  </sheetViews>
  <sheetFormatPr baseColWidth="10" defaultColWidth="11.44140625" defaultRowHeight="13.2" x14ac:dyDescent="0.25"/>
  <cols>
    <col min="1" max="1" width="21.5546875" customWidth="1"/>
    <col min="2" max="2" width="21.88671875" bestFit="1" customWidth="1"/>
    <col min="3" max="3" width="15.109375" customWidth="1"/>
    <col min="4" max="4" width="21.44140625" bestFit="1" customWidth="1"/>
    <col min="5" max="5" width="12.6640625" bestFit="1" customWidth="1"/>
    <col min="6" max="6" width="20.6640625" bestFit="1" customWidth="1"/>
    <col min="7" max="7" width="14.6640625" bestFit="1" customWidth="1"/>
    <col min="8" max="8" width="20.6640625" bestFit="1" customWidth="1"/>
    <col min="9" max="9" width="12.6640625" bestFit="1" customWidth="1"/>
    <col min="10" max="10" width="14.6640625" bestFit="1" customWidth="1"/>
    <col min="11" max="11" width="20.33203125" bestFit="1" customWidth="1"/>
    <col min="12" max="12" width="12.6640625" bestFit="1" customWidth="1"/>
    <col min="13" max="13" width="14.6640625" bestFit="1" customWidth="1"/>
  </cols>
  <sheetData>
    <row r="1" spans="1:7" x14ac:dyDescent="0.25">
      <c r="A1" t="s">
        <v>86</v>
      </c>
    </row>
    <row r="2" spans="1:7" x14ac:dyDescent="0.25">
      <c r="A2" s="4" t="s">
        <v>87</v>
      </c>
    </row>
    <row r="4" spans="1:7" x14ac:dyDescent="0.25">
      <c r="A4" t="s">
        <v>88</v>
      </c>
    </row>
    <row r="5" spans="1:7" x14ac:dyDescent="0.25">
      <c r="A5" s="4" t="s">
        <v>89</v>
      </c>
    </row>
    <row r="8" spans="1:7" x14ac:dyDescent="0.25">
      <c r="A8" s="19" t="s">
        <v>47</v>
      </c>
      <c r="B8" s="19" t="s">
        <v>57</v>
      </c>
      <c r="C8" s="19" t="s">
        <v>58</v>
      </c>
      <c r="D8" s="19" t="s">
        <v>59</v>
      </c>
      <c r="E8" s="19" t="s">
        <v>60</v>
      </c>
      <c r="F8" s="19" t="s">
        <v>61</v>
      </c>
      <c r="G8" s="19" t="s">
        <v>62</v>
      </c>
    </row>
    <row r="9" spans="1:7" x14ac:dyDescent="0.25">
      <c r="A9" t="s">
        <v>63</v>
      </c>
      <c r="B9" t="s">
        <v>67</v>
      </c>
      <c r="C9" t="s">
        <v>68</v>
      </c>
      <c r="D9" t="s">
        <v>68</v>
      </c>
      <c r="E9" t="s">
        <v>68</v>
      </c>
      <c r="F9" t="s">
        <v>68</v>
      </c>
    </row>
    <row r="10" spans="1:7" x14ac:dyDescent="0.25">
      <c r="A10" t="s">
        <v>65</v>
      </c>
      <c r="B10" t="s">
        <v>68</v>
      </c>
      <c r="C10" t="s">
        <v>68</v>
      </c>
      <c r="D10" t="s">
        <v>68</v>
      </c>
      <c r="E10" t="s">
        <v>68</v>
      </c>
      <c r="F10" t="s">
        <v>68</v>
      </c>
    </row>
    <row r="11" spans="1:7" x14ac:dyDescent="0.25">
      <c r="A11" t="s">
        <v>66</v>
      </c>
      <c r="B11" t="s">
        <v>67</v>
      </c>
      <c r="C11" t="s">
        <v>67</v>
      </c>
      <c r="D11" t="s">
        <v>68</v>
      </c>
      <c r="E11" t="s">
        <v>68</v>
      </c>
      <c r="F11" t="s">
        <v>68</v>
      </c>
    </row>
    <row r="12" spans="1:7" x14ac:dyDescent="0.25">
      <c r="A12" t="s">
        <v>39</v>
      </c>
      <c r="G12" t="s">
        <v>64</v>
      </c>
    </row>
    <row r="13" spans="1:7" x14ac:dyDescent="0.25">
      <c r="A13" t="s">
        <v>40</v>
      </c>
      <c r="G13" t="s">
        <v>64</v>
      </c>
    </row>
    <row r="14" spans="1:7" x14ac:dyDescent="0.25">
      <c r="A14" t="s">
        <v>41</v>
      </c>
      <c r="G14" t="s">
        <v>64</v>
      </c>
    </row>
    <row r="15" spans="1:7" x14ac:dyDescent="0.25">
      <c r="A15" t="s">
        <v>42</v>
      </c>
      <c r="G15" t="s">
        <v>64</v>
      </c>
    </row>
    <row r="16" spans="1:7" x14ac:dyDescent="0.25">
      <c r="A16" t="s">
        <v>43</v>
      </c>
      <c r="G16" t="s">
        <v>64</v>
      </c>
    </row>
    <row r="19" spans="1:13" x14ac:dyDescent="0.25">
      <c r="A19" s="19" t="s">
        <v>48</v>
      </c>
      <c r="B19" s="19" t="s">
        <v>52</v>
      </c>
      <c r="C19" s="19" t="s">
        <v>50</v>
      </c>
      <c r="D19" s="19" t="s">
        <v>62</v>
      </c>
      <c r="E19" s="19" t="s">
        <v>53</v>
      </c>
      <c r="F19" s="19" t="s">
        <v>50</v>
      </c>
      <c r="G19" s="19" t="s">
        <v>62</v>
      </c>
      <c r="H19" s="19" t="s">
        <v>54</v>
      </c>
      <c r="I19" s="19" t="s">
        <v>50</v>
      </c>
      <c r="J19" s="19" t="s">
        <v>62</v>
      </c>
      <c r="K19" s="19" t="s">
        <v>55</v>
      </c>
      <c r="L19" s="19" t="s">
        <v>50</v>
      </c>
      <c r="M19" s="19" t="s">
        <v>62</v>
      </c>
    </row>
    <row r="20" spans="1:13" x14ac:dyDescent="0.25">
      <c r="A20" t="s">
        <v>39</v>
      </c>
      <c r="B20" t="s">
        <v>49</v>
      </c>
      <c r="C20" t="s">
        <v>51</v>
      </c>
      <c r="D20" t="s">
        <v>56</v>
      </c>
      <c r="E20" t="s">
        <v>49</v>
      </c>
      <c r="F20" t="s">
        <v>51</v>
      </c>
      <c r="G20" t="s">
        <v>56</v>
      </c>
      <c r="H20" t="s">
        <v>49</v>
      </c>
      <c r="I20" t="s">
        <v>51</v>
      </c>
      <c r="J20" t="s">
        <v>56</v>
      </c>
      <c r="K20" t="s">
        <v>49</v>
      </c>
      <c r="L20" t="s">
        <v>51</v>
      </c>
      <c r="M20" t="s">
        <v>56</v>
      </c>
    </row>
    <row r="21" spans="1:13" x14ac:dyDescent="0.25">
      <c r="A21" t="s">
        <v>40</v>
      </c>
      <c r="B21" t="s">
        <v>49</v>
      </c>
      <c r="C21" t="s">
        <v>51</v>
      </c>
      <c r="D21" t="s">
        <v>56</v>
      </c>
      <c r="E21" t="s">
        <v>49</v>
      </c>
      <c r="F21" t="s">
        <v>51</v>
      </c>
      <c r="G21" t="s">
        <v>56</v>
      </c>
      <c r="H21" t="s">
        <v>49</v>
      </c>
      <c r="I21" t="s">
        <v>51</v>
      </c>
      <c r="J21" t="s">
        <v>56</v>
      </c>
      <c r="K21" t="s">
        <v>49</v>
      </c>
      <c r="L21" t="s">
        <v>51</v>
      </c>
      <c r="M21" t="s">
        <v>56</v>
      </c>
    </row>
    <row r="22" spans="1:13" x14ac:dyDescent="0.25">
      <c r="A22" t="s">
        <v>41</v>
      </c>
      <c r="B22" t="s">
        <v>49</v>
      </c>
      <c r="C22" t="s">
        <v>51</v>
      </c>
      <c r="D22" t="s">
        <v>56</v>
      </c>
      <c r="E22" t="s">
        <v>49</v>
      </c>
      <c r="F22" t="s">
        <v>51</v>
      </c>
      <c r="G22" t="s">
        <v>56</v>
      </c>
      <c r="H22" t="s">
        <v>49</v>
      </c>
      <c r="I22" t="s">
        <v>51</v>
      </c>
      <c r="J22" t="s">
        <v>56</v>
      </c>
      <c r="K22" t="s">
        <v>49</v>
      </c>
      <c r="L22" t="s">
        <v>51</v>
      </c>
      <c r="M22" t="s">
        <v>56</v>
      </c>
    </row>
    <row r="23" spans="1:13" x14ac:dyDescent="0.25">
      <c r="A23" t="s">
        <v>42</v>
      </c>
      <c r="B23" t="s">
        <v>49</v>
      </c>
      <c r="C23" t="s">
        <v>51</v>
      </c>
      <c r="D23" t="s">
        <v>56</v>
      </c>
      <c r="E23" t="s">
        <v>49</v>
      </c>
      <c r="F23" t="s">
        <v>51</v>
      </c>
      <c r="G23" t="s">
        <v>56</v>
      </c>
      <c r="H23" t="s">
        <v>49</v>
      </c>
      <c r="I23" t="s">
        <v>51</v>
      </c>
      <c r="J23" t="s">
        <v>56</v>
      </c>
      <c r="K23" t="s">
        <v>49</v>
      </c>
      <c r="L23" t="s">
        <v>51</v>
      </c>
      <c r="M23" t="s">
        <v>56</v>
      </c>
    </row>
    <row r="24" spans="1:13" x14ac:dyDescent="0.25">
      <c r="A24" t="s">
        <v>43</v>
      </c>
      <c r="B24" t="s">
        <v>49</v>
      </c>
      <c r="C24" t="s">
        <v>51</v>
      </c>
      <c r="D24" t="s">
        <v>56</v>
      </c>
      <c r="E24" t="s">
        <v>49</v>
      </c>
      <c r="F24" t="s">
        <v>51</v>
      </c>
      <c r="G24" t="s">
        <v>56</v>
      </c>
      <c r="H24" t="s">
        <v>49</v>
      </c>
      <c r="I24" t="s">
        <v>51</v>
      </c>
      <c r="J24" t="s">
        <v>56</v>
      </c>
      <c r="K24" t="s">
        <v>49</v>
      </c>
      <c r="L24" t="s">
        <v>51</v>
      </c>
      <c r="M24" t="s">
        <v>56</v>
      </c>
    </row>
    <row r="29" spans="1:13" x14ac:dyDescent="0.25">
      <c r="A29" s="19" t="s">
        <v>46</v>
      </c>
      <c r="B29" s="19"/>
      <c r="C29" s="60" t="s">
        <v>79</v>
      </c>
      <c r="D29" s="60"/>
      <c r="E29" s="60"/>
      <c r="F29" s="60"/>
      <c r="G29" s="60"/>
    </row>
    <row r="30" spans="1:13" x14ac:dyDescent="0.25">
      <c r="A30" t="s">
        <v>77</v>
      </c>
      <c r="B30" t="s">
        <v>82</v>
      </c>
      <c r="C30" s="16" t="s">
        <v>39</v>
      </c>
      <c r="D30" s="16" t="s">
        <v>40</v>
      </c>
      <c r="E30" s="16" t="s">
        <v>41</v>
      </c>
      <c r="F30" s="16" t="s">
        <v>42</v>
      </c>
      <c r="G30" s="16" t="s">
        <v>43</v>
      </c>
    </row>
    <row r="31" spans="1:13" x14ac:dyDescent="0.25">
      <c r="A31" t="s">
        <v>39</v>
      </c>
      <c r="B31" t="s">
        <v>83</v>
      </c>
      <c r="C31" s="17"/>
      <c r="D31" s="16" t="s">
        <v>80</v>
      </c>
      <c r="E31" s="18" t="s">
        <v>85</v>
      </c>
      <c r="F31" s="16" t="s">
        <v>81</v>
      </c>
      <c r="G31" s="16" t="s">
        <v>81</v>
      </c>
    </row>
    <row r="32" spans="1:13" x14ac:dyDescent="0.25">
      <c r="B32" t="s">
        <v>84</v>
      </c>
      <c r="C32" s="17"/>
      <c r="D32" s="16" t="s">
        <v>81</v>
      </c>
      <c r="E32" s="16"/>
      <c r="F32" s="16" t="s">
        <v>81</v>
      </c>
      <c r="G32" s="16" t="s">
        <v>80</v>
      </c>
    </row>
    <row r="33" spans="1:8" x14ac:dyDescent="0.25">
      <c r="A33" t="s">
        <v>40</v>
      </c>
      <c r="B33" t="s">
        <v>83</v>
      </c>
      <c r="C33" s="16" t="s">
        <v>81</v>
      </c>
      <c r="D33" s="16" t="s">
        <v>80</v>
      </c>
      <c r="E33" s="17"/>
      <c r="F33" s="16" t="s">
        <v>81</v>
      </c>
      <c r="G33" s="17"/>
    </row>
    <row r="34" spans="1:8" x14ac:dyDescent="0.25">
      <c r="B34" t="s">
        <v>84</v>
      </c>
      <c r="C34" s="16" t="s">
        <v>80</v>
      </c>
      <c r="D34" s="16" t="s">
        <v>80</v>
      </c>
      <c r="E34" s="17"/>
      <c r="F34" s="18" t="s">
        <v>85</v>
      </c>
      <c r="G34" s="18" t="s">
        <v>85</v>
      </c>
    </row>
    <row r="35" spans="1:8" x14ac:dyDescent="0.25">
      <c r="A35" t="s">
        <v>41</v>
      </c>
      <c r="B35" t="s">
        <v>83</v>
      </c>
      <c r="C35" s="17"/>
      <c r="D35" s="17"/>
      <c r="E35" s="16" t="s">
        <v>80</v>
      </c>
      <c r="F35" s="17"/>
      <c r="G35" s="17"/>
    </row>
    <row r="36" spans="1:8" x14ac:dyDescent="0.25">
      <c r="B36" t="s">
        <v>84</v>
      </c>
      <c r="C36" s="16" t="s">
        <v>81</v>
      </c>
      <c r="D36" s="17"/>
      <c r="E36" s="18" t="s">
        <v>85</v>
      </c>
      <c r="F36" s="17"/>
      <c r="G36" s="17"/>
    </row>
    <row r="37" spans="1:8" x14ac:dyDescent="0.25">
      <c r="A37" t="s">
        <v>42</v>
      </c>
      <c r="B37" t="s">
        <v>83</v>
      </c>
      <c r="C37" s="17"/>
      <c r="D37" s="17"/>
      <c r="E37" s="16" t="s">
        <v>80</v>
      </c>
      <c r="F37" s="17"/>
      <c r="G37" s="16" t="s">
        <v>81</v>
      </c>
    </row>
    <row r="38" spans="1:8" x14ac:dyDescent="0.25">
      <c r="B38" t="s">
        <v>84</v>
      </c>
      <c r="C38" s="17"/>
      <c r="D38" s="17"/>
      <c r="E38" s="18" t="s">
        <v>85</v>
      </c>
      <c r="F38" s="17"/>
      <c r="G38" s="17"/>
    </row>
    <row r="39" spans="1:8" x14ac:dyDescent="0.25">
      <c r="A39" t="s">
        <v>43</v>
      </c>
      <c r="B39" t="s">
        <v>83</v>
      </c>
      <c r="C39" s="17"/>
      <c r="D39" s="17"/>
      <c r="E39" s="16" t="s">
        <v>80</v>
      </c>
      <c r="F39" s="17"/>
      <c r="G39" s="16" t="s">
        <v>80</v>
      </c>
    </row>
    <row r="40" spans="1:8" x14ac:dyDescent="0.25">
      <c r="B40" t="s">
        <v>84</v>
      </c>
      <c r="C40" s="18"/>
      <c r="D40" s="17"/>
      <c r="E40" s="17"/>
      <c r="F40" s="17"/>
      <c r="G40" s="16" t="s">
        <v>81</v>
      </c>
      <c r="H40" s="3"/>
    </row>
    <row r="41" spans="1:8" x14ac:dyDescent="0.25">
      <c r="C41" s="18"/>
      <c r="D41" s="18"/>
      <c r="E41" s="18"/>
      <c r="F41" s="18"/>
      <c r="G41" s="18"/>
      <c r="H41" s="3"/>
    </row>
    <row r="42" spans="1:8" x14ac:dyDescent="0.25">
      <c r="A42" t="s">
        <v>78</v>
      </c>
      <c r="C42" s="16" t="s">
        <v>39</v>
      </c>
      <c r="D42" s="16" t="s">
        <v>40</v>
      </c>
      <c r="E42" s="16" t="s">
        <v>41</v>
      </c>
      <c r="F42" s="16" t="s">
        <v>42</v>
      </c>
      <c r="G42" s="16" t="s">
        <v>43</v>
      </c>
      <c r="H42" s="3"/>
    </row>
    <row r="43" spans="1:8" x14ac:dyDescent="0.25">
      <c r="A43" t="s">
        <v>39</v>
      </c>
      <c r="B43" t="s">
        <v>83</v>
      </c>
      <c r="C43" s="17"/>
      <c r="D43" s="16" t="s">
        <v>81</v>
      </c>
      <c r="E43" s="16" t="s">
        <v>81</v>
      </c>
      <c r="F43" s="16" t="s">
        <v>81</v>
      </c>
      <c r="G43" s="16" t="s">
        <v>81</v>
      </c>
      <c r="H43" s="3"/>
    </row>
    <row r="44" spans="1:8" x14ac:dyDescent="0.25">
      <c r="B44" t="s">
        <v>84</v>
      </c>
      <c r="C44" s="17"/>
      <c r="D44" s="16" t="s">
        <v>80</v>
      </c>
      <c r="E44" s="16" t="s">
        <v>80</v>
      </c>
      <c r="F44" s="16" t="s">
        <v>80</v>
      </c>
      <c r="G44" s="16" t="s">
        <v>80</v>
      </c>
      <c r="H44" s="3"/>
    </row>
    <row r="45" spans="1:8" x14ac:dyDescent="0.25">
      <c r="A45" t="s">
        <v>40</v>
      </c>
      <c r="B45" t="s">
        <v>83</v>
      </c>
      <c r="C45" s="16"/>
      <c r="D45" s="18" t="s">
        <v>85</v>
      </c>
      <c r="E45" s="17"/>
      <c r="F45" s="18" t="s">
        <v>85</v>
      </c>
      <c r="G45" s="17"/>
      <c r="H45" s="3"/>
    </row>
    <row r="46" spans="1:8" x14ac:dyDescent="0.25">
      <c r="B46" t="s">
        <v>84</v>
      </c>
      <c r="C46" s="18" t="s">
        <v>85</v>
      </c>
      <c r="D46" s="16" t="s">
        <v>80</v>
      </c>
      <c r="E46" s="17"/>
      <c r="F46" s="16" t="s">
        <v>80</v>
      </c>
      <c r="G46" s="17"/>
      <c r="H46" s="3"/>
    </row>
    <row r="47" spans="1:8" x14ac:dyDescent="0.25">
      <c r="A47" t="s">
        <v>41</v>
      </c>
      <c r="B47" t="s">
        <v>83</v>
      </c>
      <c r="C47" s="18" t="s">
        <v>85</v>
      </c>
      <c r="D47" s="17"/>
      <c r="E47" s="17"/>
      <c r="F47" s="17"/>
      <c r="G47" s="17"/>
      <c r="H47" s="3"/>
    </row>
    <row r="48" spans="1:8" x14ac:dyDescent="0.25">
      <c r="B48" t="s">
        <v>84</v>
      </c>
      <c r="C48" s="17"/>
      <c r="D48" s="17"/>
      <c r="E48" s="17"/>
      <c r="F48" s="17"/>
      <c r="G48" s="17"/>
      <c r="H48" s="3"/>
    </row>
    <row r="49" spans="1:10" x14ac:dyDescent="0.25">
      <c r="A49" t="s">
        <v>42</v>
      </c>
      <c r="B49" t="s">
        <v>83</v>
      </c>
      <c r="C49" s="17"/>
      <c r="D49" s="16" t="s">
        <v>80</v>
      </c>
      <c r="E49" s="16" t="s">
        <v>80</v>
      </c>
      <c r="F49" s="18" t="s">
        <v>85</v>
      </c>
      <c r="G49" s="17"/>
      <c r="H49" s="3"/>
    </row>
    <row r="50" spans="1:10" x14ac:dyDescent="0.25">
      <c r="B50" t="s">
        <v>84</v>
      </c>
      <c r="C50" s="17"/>
      <c r="D50" s="17"/>
      <c r="E50" s="16" t="s">
        <v>80</v>
      </c>
      <c r="F50" s="17"/>
      <c r="G50" s="17"/>
      <c r="H50" s="3"/>
    </row>
    <row r="51" spans="1:10" x14ac:dyDescent="0.25">
      <c r="A51" t="s">
        <v>43</v>
      </c>
      <c r="B51" t="s">
        <v>83</v>
      </c>
      <c r="C51" s="16" t="s">
        <v>80</v>
      </c>
      <c r="D51" s="18" t="s">
        <v>85</v>
      </c>
      <c r="E51" s="16" t="s">
        <v>80</v>
      </c>
      <c r="F51" s="17"/>
      <c r="G51" s="16" t="s">
        <v>80</v>
      </c>
      <c r="H51" s="3"/>
    </row>
    <row r="52" spans="1:10" x14ac:dyDescent="0.25">
      <c r="B52" t="s">
        <v>84</v>
      </c>
      <c r="C52" s="17"/>
      <c r="D52" s="17"/>
      <c r="E52" s="17"/>
      <c r="F52" s="16" t="s">
        <v>81</v>
      </c>
      <c r="G52" s="16" t="s">
        <v>81</v>
      </c>
      <c r="H52" s="3"/>
    </row>
    <row r="55" spans="1:10" x14ac:dyDescent="0.25">
      <c r="A55" s="19" t="s">
        <v>38</v>
      </c>
      <c r="B55" s="19"/>
      <c r="C55" s="19"/>
      <c r="D55" s="19"/>
      <c r="E55" s="19"/>
      <c r="F55" s="19"/>
      <c r="G55" s="19"/>
      <c r="H55" s="19"/>
      <c r="I55" s="19"/>
      <c r="J55" s="19"/>
    </row>
    <row r="56" spans="1:10" x14ac:dyDescent="0.25">
      <c r="B56" t="s">
        <v>44</v>
      </c>
      <c r="C56" t="s">
        <v>69</v>
      </c>
      <c r="D56" t="s">
        <v>75</v>
      </c>
      <c r="E56" s="59" t="s">
        <v>76</v>
      </c>
      <c r="F56" s="16" t="s">
        <v>39</v>
      </c>
      <c r="G56" s="16" t="s">
        <v>40</v>
      </c>
      <c r="H56" s="16" t="s">
        <v>41</v>
      </c>
      <c r="I56" s="16" t="s">
        <v>42</v>
      </c>
      <c r="J56" s="16" t="s">
        <v>43</v>
      </c>
    </row>
    <row r="57" spans="1:10" x14ac:dyDescent="0.25">
      <c r="A57" t="s">
        <v>39</v>
      </c>
      <c r="B57" t="s">
        <v>45</v>
      </c>
      <c r="C57" t="s">
        <v>70</v>
      </c>
      <c r="D57" t="s">
        <v>45</v>
      </c>
      <c r="E57" s="59"/>
      <c r="F57" s="17"/>
      <c r="G57" s="16" t="s">
        <v>45</v>
      </c>
      <c r="H57" s="16" t="s">
        <v>45</v>
      </c>
      <c r="I57" s="16" t="s">
        <v>45</v>
      </c>
      <c r="J57" s="16" t="s">
        <v>45</v>
      </c>
    </row>
    <row r="58" spans="1:10" x14ac:dyDescent="0.25">
      <c r="A58" t="s">
        <v>40</v>
      </c>
      <c r="B58" t="s">
        <v>45</v>
      </c>
      <c r="C58" t="s">
        <v>71</v>
      </c>
      <c r="D58" t="s">
        <v>45</v>
      </c>
      <c r="E58" s="59"/>
      <c r="F58" s="16" t="s">
        <v>45</v>
      </c>
      <c r="G58" s="16" t="s">
        <v>45</v>
      </c>
      <c r="H58" s="17"/>
      <c r="I58" s="16" t="s">
        <v>45</v>
      </c>
      <c r="J58" s="17"/>
    </row>
    <row r="59" spans="1:10" x14ac:dyDescent="0.25">
      <c r="A59" t="s">
        <v>41</v>
      </c>
      <c r="B59" t="s">
        <v>45</v>
      </c>
      <c r="C59" t="s">
        <v>72</v>
      </c>
      <c r="D59" t="s">
        <v>45</v>
      </c>
      <c r="E59" s="59"/>
      <c r="F59" s="17"/>
      <c r="G59" s="17"/>
      <c r="H59" s="16" t="s">
        <v>45</v>
      </c>
      <c r="I59" s="17"/>
      <c r="J59" s="17"/>
    </row>
    <row r="60" spans="1:10" x14ac:dyDescent="0.25">
      <c r="A60" t="s">
        <v>42</v>
      </c>
      <c r="B60" t="s">
        <v>45</v>
      </c>
      <c r="C60" t="s">
        <v>73</v>
      </c>
      <c r="D60" t="s">
        <v>45</v>
      </c>
      <c r="E60" s="59"/>
      <c r="F60" s="17"/>
      <c r="G60" s="17"/>
      <c r="H60" s="16" t="s">
        <v>45</v>
      </c>
      <c r="I60" s="17"/>
      <c r="J60" s="17"/>
    </row>
    <row r="61" spans="1:10" x14ac:dyDescent="0.25">
      <c r="A61" t="s">
        <v>43</v>
      </c>
      <c r="B61" t="s">
        <v>45</v>
      </c>
      <c r="C61" t="s">
        <v>74</v>
      </c>
      <c r="D61" t="s">
        <v>45</v>
      </c>
      <c r="E61" s="59"/>
      <c r="F61" s="17"/>
      <c r="G61" s="17"/>
      <c r="H61" s="16" t="s">
        <v>45</v>
      </c>
      <c r="I61" s="17"/>
      <c r="J61" s="16" t="s">
        <v>45</v>
      </c>
    </row>
  </sheetData>
  <mergeCells count="2">
    <mergeCell ref="E56:E61"/>
    <mergeCell ref="C29:G29"/>
  </mergeCells>
  <hyperlinks>
    <hyperlink ref="A2" r:id="rId1" location="action=com.ibm.rqm.planning.home.actionDispatcher&amp;subAction=viewTestPlan&amp;id=2645" display="https://rb-alm-06-p.de.bosch.com/qm/web/console/PJ-AD (qm) - action=com.ibm.rqm.planning.home.actionDispatcher&amp;subAction=viewTestPlan&amp;id=2645" xr:uid="{00000000-0004-0000-0200-000000000000}"/>
    <hyperlink ref="A5" r:id="rId2" display="https://sourcecode01.de.bosch.com/projects/PJPH/repos/test_vteststudio_multiecu_hil/browse/vTestStudio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256A2-CF8D-4977-BF3E-7594111B002A}">
  <dimension ref="A2:AB35"/>
  <sheetViews>
    <sheetView workbookViewId="0"/>
  </sheetViews>
  <sheetFormatPr baseColWidth="10" defaultColWidth="9.109375" defaultRowHeight="13.2" x14ac:dyDescent="0.25"/>
  <cols>
    <col min="1" max="1" width="15.5546875" style="22" customWidth="1"/>
    <col min="2" max="2" width="3.44140625" style="22" customWidth="1"/>
    <col min="3" max="3" width="9.109375" style="22"/>
    <col min="4" max="4" width="9.44140625" style="22" customWidth="1"/>
    <col min="5" max="5" width="2.6640625" style="22" customWidth="1"/>
    <col min="6" max="6" width="5.5546875" style="22" customWidth="1"/>
    <col min="7" max="7" width="6.33203125" style="22" customWidth="1"/>
    <col min="8" max="8" width="5.5546875" style="22" customWidth="1"/>
    <col min="9" max="9" width="3.6640625" style="22" customWidth="1"/>
    <col min="10" max="16384" width="9.109375" style="22"/>
  </cols>
  <sheetData>
    <row r="2" spans="4:28" x14ac:dyDescent="0.25">
      <c r="M2" s="22" t="s">
        <v>140</v>
      </c>
    </row>
    <row r="4" spans="4:28" x14ac:dyDescent="0.25">
      <c r="U4" s="22" t="s">
        <v>141</v>
      </c>
      <c r="Y4" s="22" t="s">
        <v>141</v>
      </c>
    </row>
    <row r="5" spans="4:28" x14ac:dyDescent="0.25">
      <c r="U5" s="22" t="s">
        <v>142</v>
      </c>
      <c r="Y5" s="22" t="s">
        <v>143</v>
      </c>
    </row>
    <row r="11" spans="4:28" x14ac:dyDescent="0.25">
      <c r="Q11" s="22" t="s">
        <v>144</v>
      </c>
      <c r="Y11" s="22" t="s">
        <v>145</v>
      </c>
    </row>
    <row r="12" spans="4:28" x14ac:dyDescent="0.25">
      <c r="Q12" s="22" t="s">
        <v>143</v>
      </c>
    </row>
    <row r="13" spans="4:28" x14ac:dyDescent="0.25"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4:28" x14ac:dyDescent="0.25"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 t="s">
        <v>146</v>
      </c>
      <c r="X14" s="23"/>
      <c r="Y14" s="23"/>
      <c r="Z14" s="23"/>
      <c r="AA14" s="23"/>
      <c r="AB14" s="23"/>
    </row>
    <row r="15" spans="4:28" ht="8.25" customHeight="1" thickBot="1" x14ac:dyDescent="0.3">
      <c r="D15" s="23"/>
      <c r="E15" s="23"/>
      <c r="F15" s="24"/>
      <c r="G15" s="23"/>
      <c r="H15" s="24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4:28" x14ac:dyDescent="0.25">
      <c r="D16" s="23"/>
      <c r="E16" s="25"/>
      <c r="F16" s="25"/>
      <c r="G16" s="26"/>
      <c r="H16" s="25"/>
      <c r="I16" s="26"/>
      <c r="J16" s="23"/>
      <c r="K16" s="23"/>
      <c r="L16" s="23"/>
      <c r="M16" s="23"/>
      <c r="N16" s="23"/>
      <c r="O16" s="23"/>
      <c r="P16" s="23"/>
      <c r="Q16" s="23"/>
      <c r="R16" s="23"/>
      <c r="S16" s="23" t="s">
        <v>146</v>
      </c>
      <c r="T16" s="23"/>
      <c r="U16" s="23"/>
      <c r="V16" s="23"/>
      <c r="W16" s="23" t="s">
        <v>143</v>
      </c>
      <c r="X16" s="23"/>
      <c r="Y16" s="23"/>
      <c r="Z16" s="23"/>
      <c r="AA16" s="23"/>
      <c r="AB16" s="23"/>
    </row>
    <row r="17" spans="1:28" x14ac:dyDescent="0.25">
      <c r="A17" s="22" t="s">
        <v>147</v>
      </c>
      <c r="D17" s="23"/>
      <c r="E17" s="27"/>
      <c r="F17" s="27"/>
      <c r="G17" s="28"/>
      <c r="H17" s="27"/>
      <c r="I17" s="28"/>
      <c r="J17" s="23"/>
      <c r="K17" s="23"/>
      <c r="L17" s="23"/>
      <c r="M17" s="23"/>
      <c r="N17" s="23"/>
      <c r="O17" s="23"/>
      <c r="P17" s="23"/>
      <c r="Q17" s="23"/>
      <c r="R17" s="23"/>
      <c r="S17" s="23" t="s">
        <v>143</v>
      </c>
      <c r="T17" s="23"/>
      <c r="U17" s="23"/>
      <c r="V17" s="23"/>
      <c r="W17" s="23"/>
      <c r="X17" s="23"/>
      <c r="Y17" s="23"/>
      <c r="Z17" s="23"/>
      <c r="AA17" s="23"/>
      <c r="AB17" s="23"/>
    </row>
    <row r="18" spans="1:28" ht="13.8" thickBot="1" x14ac:dyDescent="0.3">
      <c r="D18" s="23"/>
      <c r="E18" s="29"/>
      <c r="F18" s="29"/>
      <c r="G18" s="30"/>
      <c r="H18" s="29"/>
      <c r="I18" s="30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 ht="7.5" customHeight="1" x14ac:dyDescent="0.25">
      <c r="D19" s="23"/>
      <c r="E19" s="23"/>
      <c r="F19" s="31"/>
      <c r="G19" s="23"/>
      <c r="H19" s="31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 x14ac:dyDescent="0.25"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 t="s">
        <v>148</v>
      </c>
      <c r="X20" s="23"/>
      <c r="Y20" s="23"/>
      <c r="Z20" s="23"/>
      <c r="AA20" s="23"/>
      <c r="AB20" s="23"/>
    </row>
    <row r="21" spans="1:28" x14ac:dyDescent="0.25"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</row>
    <row r="23" spans="1:28" x14ac:dyDescent="0.25">
      <c r="P23" s="22" t="s">
        <v>149</v>
      </c>
      <c r="R23" s="22" t="s">
        <v>150</v>
      </c>
      <c r="T23" s="22" t="s">
        <v>151</v>
      </c>
      <c r="V23" s="22" t="s">
        <v>152</v>
      </c>
      <c r="X23" s="22" t="s">
        <v>153</v>
      </c>
    </row>
    <row r="27" spans="1:28" x14ac:dyDescent="0.25">
      <c r="L27" s="22" t="s">
        <v>154</v>
      </c>
    </row>
    <row r="29" spans="1:28" x14ac:dyDescent="0.25">
      <c r="T29" s="22" t="s">
        <v>155</v>
      </c>
    </row>
    <row r="35" spans="14:14" x14ac:dyDescent="0.25">
      <c r="N35" s="22" t="s">
        <v>156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51424-3A2F-4B26-972C-8AEEB7E661D2}">
  <dimension ref="A2:Y66"/>
  <sheetViews>
    <sheetView topLeftCell="A55" workbookViewId="0">
      <selection activeCell="M56" sqref="M56"/>
    </sheetView>
  </sheetViews>
  <sheetFormatPr baseColWidth="10" defaultColWidth="9.109375" defaultRowHeight="13.2" x14ac:dyDescent="0.25"/>
  <cols>
    <col min="1" max="1" width="5.44140625" style="22" customWidth="1"/>
    <col min="2" max="2" width="9.44140625" style="22" customWidth="1"/>
    <col min="3" max="3" width="4.6640625" style="22" customWidth="1"/>
    <col min="4" max="4" width="47.6640625" style="22" customWidth="1"/>
    <col min="5" max="5" width="14.44140625" style="22" customWidth="1"/>
    <col min="6" max="7" width="9.109375" style="22"/>
    <col min="8" max="8" width="13.44140625" style="22" customWidth="1"/>
    <col min="9" max="9" width="9.5546875" style="22" customWidth="1"/>
    <col min="10" max="10" width="17.33203125" style="22" customWidth="1"/>
    <col min="11" max="11" width="14.5546875" style="22" customWidth="1"/>
    <col min="12" max="13" width="12.6640625" style="22" bestFit="1" customWidth="1"/>
    <col min="14" max="14" width="4.44140625" style="22" customWidth="1"/>
    <col min="15" max="20" width="9.109375" style="22"/>
    <col min="21" max="21" width="14.109375" style="22" customWidth="1"/>
    <col min="22" max="16384" width="9.109375" style="22"/>
  </cols>
  <sheetData>
    <row r="2" spans="1:16" ht="15.6" x14ac:dyDescent="0.3">
      <c r="A2" s="49" t="s">
        <v>188</v>
      </c>
    </row>
    <row r="4" spans="1:16" x14ac:dyDescent="0.25">
      <c r="B4" s="32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4"/>
    </row>
    <row r="5" spans="1:16" ht="15.6" x14ac:dyDescent="0.3">
      <c r="B5" s="35"/>
      <c r="C5" s="36" t="s">
        <v>157</v>
      </c>
      <c r="D5" s="23"/>
      <c r="E5" s="23"/>
      <c r="F5" s="23"/>
      <c r="G5" s="37"/>
      <c r="H5" s="23"/>
      <c r="I5" s="23"/>
      <c r="J5" s="23"/>
      <c r="K5" s="23"/>
      <c r="L5" s="23"/>
      <c r="M5" s="23"/>
      <c r="N5" s="23"/>
      <c r="O5" s="37"/>
      <c r="P5" s="38"/>
    </row>
    <row r="6" spans="1:16" x14ac:dyDescent="0.25">
      <c r="B6" s="35"/>
      <c r="C6" s="23"/>
      <c r="D6" s="23"/>
      <c r="E6" s="23"/>
      <c r="F6" s="23"/>
      <c r="G6" s="37"/>
      <c r="H6" s="39" t="s">
        <v>158</v>
      </c>
      <c r="I6" s="23"/>
      <c r="J6" s="23"/>
      <c r="K6" s="23"/>
      <c r="L6" s="23"/>
      <c r="M6" s="23"/>
      <c r="N6" s="23"/>
      <c r="O6" s="37"/>
      <c r="P6" s="38"/>
    </row>
    <row r="7" spans="1:16" x14ac:dyDescent="0.25">
      <c r="B7" s="35"/>
      <c r="C7" s="23"/>
      <c r="D7" s="40" t="s">
        <v>155</v>
      </c>
      <c r="E7" s="41" t="s">
        <v>159</v>
      </c>
      <c r="F7" s="23"/>
      <c r="G7" s="37"/>
      <c r="H7" s="23"/>
      <c r="I7" s="23"/>
      <c r="J7" s="23"/>
      <c r="K7" s="23"/>
      <c r="L7" s="23"/>
      <c r="M7" s="23"/>
      <c r="N7" s="23"/>
      <c r="O7" s="37"/>
      <c r="P7" s="38"/>
    </row>
    <row r="8" spans="1:16" x14ac:dyDescent="0.25">
      <c r="B8" s="35"/>
      <c r="C8" s="23"/>
      <c r="D8" s="40" t="s">
        <v>160</v>
      </c>
      <c r="E8" s="41" t="s">
        <v>159</v>
      </c>
      <c r="F8" s="23"/>
      <c r="G8" s="37"/>
      <c r="H8" s="23"/>
      <c r="I8" s="23" t="s">
        <v>161</v>
      </c>
      <c r="J8" s="23" t="s">
        <v>162</v>
      </c>
      <c r="K8" s="42" t="s">
        <v>163</v>
      </c>
      <c r="L8" s="23" t="s">
        <v>145</v>
      </c>
      <c r="M8" s="23" t="s">
        <v>148</v>
      </c>
      <c r="N8" s="23"/>
      <c r="O8" s="37"/>
      <c r="P8" s="38"/>
    </row>
    <row r="9" spans="1:16" x14ac:dyDescent="0.25">
      <c r="B9" s="35"/>
      <c r="C9" s="23"/>
      <c r="D9" s="40" t="s">
        <v>164</v>
      </c>
      <c r="E9" s="41" t="s">
        <v>165</v>
      </c>
      <c r="F9" s="23"/>
      <c r="G9" s="37"/>
      <c r="H9" s="23" t="s">
        <v>149</v>
      </c>
      <c r="I9" s="41" t="s">
        <v>166</v>
      </c>
      <c r="J9" s="41" t="s">
        <v>166</v>
      </c>
      <c r="K9" s="43" t="s">
        <v>166</v>
      </c>
      <c r="L9" s="41" t="s">
        <v>166</v>
      </c>
      <c r="M9" s="41" t="s">
        <v>166</v>
      </c>
      <c r="N9" s="23"/>
      <c r="O9" s="37"/>
      <c r="P9" s="38"/>
    </row>
    <row r="10" spans="1:16" x14ac:dyDescent="0.25">
      <c r="B10" s="35"/>
      <c r="C10" s="23"/>
      <c r="D10" s="40" t="s">
        <v>167</v>
      </c>
      <c r="E10" s="41" t="s">
        <v>165</v>
      </c>
      <c r="F10" s="23"/>
      <c r="G10" s="37"/>
      <c r="H10" s="23" t="s">
        <v>150</v>
      </c>
      <c r="I10" s="41" t="s">
        <v>166</v>
      </c>
      <c r="J10" s="41" t="s">
        <v>166</v>
      </c>
      <c r="K10" s="43" t="s">
        <v>166</v>
      </c>
      <c r="L10" s="41" t="s">
        <v>166</v>
      </c>
      <c r="M10" s="41" t="s">
        <v>166</v>
      </c>
      <c r="N10" s="23"/>
      <c r="O10" s="37"/>
      <c r="P10" s="38"/>
    </row>
    <row r="11" spans="1:16" x14ac:dyDescent="0.25">
      <c r="B11" s="35"/>
      <c r="C11" s="23"/>
      <c r="D11" s="40" t="s">
        <v>168</v>
      </c>
      <c r="E11" s="41" t="s">
        <v>165</v>
      </c>
      <c r="F11" s="23"/>
      <c r="G11" s="37"/>
      <c r="H11" s="23" t="s">
        <v>151</v>
      </c>
      <c r="I11" s="41" t="s">
        <v>166</v>
      </c>
      <c r="J11" s="41" t="s">
        <v>166</v>
      </c>
      <c r="K11" s="43" t="s">
        <v>166</v>
      </c>
      <c r="L11" s="41" t="s">
        <v>166</v>
      </c>
      <c r="M11" s="41" t="s">
        <v>166</v>
      </c>
      <c r="N11" s="23"/>
      <c r="O11" s="37"/>
      <c r="P11" s="38"/>
    </row>
    <row r="12" spans="1:16" x14ac:dyDescent="0.25">
      <c r="B12" s="35"/>
      <c r="C12" s="23"/>
      <c r="D12" s="40" t="s">
        <v>169</v>
      </c>
      <c r="E12" s="41" t="s">
        <v>165</v>
      </c>
      <c r="F12" s="23"/>
      <c r="G12" s="37"/>
      <c r="H12" s="23" t="s">
        <v>152</v>
      </c>
      <c r="I12" s="41" t="s">
        <v>166</v>
      </c>
      <c r="J12" s="41" t="s">
        <v>166</v>
      </c>
      <c r="K12" s="43" t="s">
        <v>166</v>
      </c>
      <c r="L12" s="41" t="s">
        <v>166</v>
      </c>
      <c r="M12" s="41" t="s">
        <v>166</v>
      </c>
      <c r="N12" s="23"/>
      <c r="O12" s="37"/>
      <c r="P12" s="38"/>
    </row>
    <row r="13" spans="1:16" x14ac:dyDescent="0.25">
      <c r="B13" s="35"/>
      <c r="C13" s="23"/>
      <c r="D13" s="40" t="s">
        <v>145</v>
      </c>
      <c r="E13" s="41" t="s">
        <v>165</v>
      </c>
      <c r="F13" s="23"/>
      <c r="G13" s="37"/>
      <c r="H13" s="23" t="s">
        <v>153</v>
      </c>
      <c r="I13" s="41" t="s">
        <v>166</v>
      </c>
      <c r="J13" s="41" t="s">
        <v>166</v>
      </c>
      <c r="K13" s="43" t="s">
        <v>166</v>
      </c>
      <c r="L13" s="41" t="s">
        <v>166</v>
      </c>
      <c r="M13" s="41" t="s">
        <v>166</v>
      </c>
      <c r="N13" s="23"/>
      <c r="O13" s="37"/>
      <c r="P13" s="38"/>
    </row>
    <row r="14" spans="1:16" x14ac:dyDescent="0.25">
      <c r="B14" s="35"/>
      <c r="C14" s="23"/>
      <c r="D14" s="40" t="s">
        <v>170</v>
      </c>
      <c r="E14" s="41" t="s">
        <v>165</v>
      </c>
      <c r="F14" s="23"/>
      <c r="G14" s="37"/>
      <c r="H14" s="23" t="s">
        <v>171</v>
      </c>
      <c r="I14" s="41" t="s">
        <v>166</v>
      </c>
      <c r="J14" s="41" t="s">
        <v>166</v>
      </c>
      <c r="K14" s="43" t="s">
        <v>166</v>
      </c>
      <c r="L14" s="41" t="s">
        <v>166</v>
      </c>
      <c r="M14" s="41" t="s">
        <v>166</v>
      </c>
      <c r="N14" s="23"/>
      <c r="O14" s="37"/>
      <c r="P14" s="38"/>
    </row>
    <row r="15" spans="1:16" x14ac:dyDescent="0.25">
      <c r="B15" s="35"/>
      <c r="C15" s="23"/>
      <c r="D15" s="23" t="s">
        <v>147</v>
      </c>
      <c r="E15" s="41" t="s">
        <v>159</v>
      </c>
      <c r="F15" s="23"/>
      <c r="G15" s="37"/>
      <c r="H15" s="23" t="s">
        <v>172</v>
      </c>
      <c r="I15" s="41" t="s">
        <v>166</v>
      </c>
      <c r="J15" s="41" t="s">
        <v>166</v>
      </c>
      <c r="K15" s="43" t="s">
        <v>166</v>
      </c>
      <c r="L15" s="41" t="s">
        <v>166</v>
      </c>
      <c r="M15" s="41" t="s">
        <v>166</v>
      </c>
      <c r="N15" s="23"/>
      <c r="O15" s="37"/>
      <c r="P15" s="38"/>
    </row>
    <row r="16" spans="1:16" x14ac:dyDescent="0.25">
      <c r="B16" s="35"/>
      <c r="C16" s="23"/>
      <c r="D16" s="23"/>
      <c r="E16" s="23"/>
      <c r="F16" s="23"/>
      <c r="G16" s="37"/>
      <c r="H16" s="23" t="s">
        <v>173</v>
      </c>
      <c r="I16" s="41" t="s">
        <v>166</v>
      </c>
      <c r="J16" s="41" t="s">
        <v>166</v>
      </c>
      <c r="K16" s="43" t="s">
        <v>166</v>
      </c>
      <c r="L16" s="41" t="s">
        <v>166</v>
      </c>
      <c r="M16" s="41" t="s">
        <v>166</v>
      </c>
      <c r="N16" s="23"/>
      <c r="O16" s="37"/>
      <c r="P16" s="38"/>
    </row>
    <row r="17" spans="2:16" x14ac:dyDescent="0.25">
      <c r="B17" s="35"/>
      <c r="C17" s="37"/>
      <c r="D17" s="37"/>
      <c r="E17" s="37"/>
      <c r="F17" s="37"/>
      <c r="G17" s="37"/>
      <c r="H17" s="23"/>
      <c r="I17" s="23"/>
      <c r="J17" s="23"/>
      <c r="K17" s="23"/>
      <c r="L17" s="23"/>
      <c r="M17" s="23"/>
      <c r="N17" s="23"/>
      <c r="O17" s="37"/>
      <c r="P17" s="38"/>
    </row>
    <row r="18" spans="2:16" x14ac:dyDescent="0.25">
      <c r="B18" s="35"/>
      <c r="C18" s="23"/>
      <c r="D18" s="23"/>
      <c r="E18" s="23"/>
      <c r="F18" s="23"/>
      <c r="G18" s="37"/>
      <c r="H18" s="23"/>
      <c r="I18" s="23"/>
      <c r="J18" s="23"/>
      <c r="K18" s="23"/>
      <c r="L18" s="23" t="s">
        <v>174</v>
      </c>
      <c r="M18" s="44" t="s">
        <v>175</v>
      </c>
      <c r="N18" s="23"/>
      <c r="O18" s="37"/>
      <c r="P18" s="38"/>
    </row>
    <row r="19" spans="2:16" x14ac:dyDescent="0.25">
      <c r="B19" s="35"/>
      <c r="C19" s="23"/>
      <c r="D19" s="39" t="s">
        <v>176</v>
      </c>
      <c r="E19" s="23"/>
      <c r="F19" s="23"/>
      <c r="G19" s="37"/>
      <c r="H19" s="23"/>
      <c r="I19" s="23"/>
      <c r="J19" s="23"/>
      <c r="K19" s="23"/>
      <c r="L19" s="23"/>
      <c r="M19" s="23"/>
      <c r="N19" s="23"/>
      <c r="O19" s="37"/>
      <c r="P19" s="38"/>
    </row>
    <row r="20" spans="2:16" x14ac:dyDescent="0.25">
      <c r="B20" s="35"/>
      <c r="C20" s="23"/>
      <c r="D20" s="40" t="s">
        <v>177</v>
      </c>
      <c r="E20" s="41" t="s">
        <v>159</v>
      </c>
      <c r="F20" s="23"/>
      <c r="G20" s="37"/>
      <c r="H20" s="37"/>
      <c r="I20" s="37"/>
      <c r="J20" s="37"/>
      <c r="K20" s="37"/>
      <c r="L20" s="37"/>
      <c r="M20" s="37"/>
      <c r="N20" s="37"/>
      <c r="O20" s="37"/>
      <c r="P20" s="38"/>
    </row>
    <row r="21" spans="2:16" x14ac:dyDescent="0.25">
      <c r="B21" s="35"/>
      <c r="C21" s="23"/>
      <c r="D21" s="40" t="s">
        <v>187</v>
      </c>
      <c r="E21" s="41" t="s">
        <v>159</v>
      </c>
      <c r="F21" s="23"/>
      <c r="G21" s="37"/>
      <c r="H21" s="37"/>
      <c r="I21" s="37"/>
      <c r="J21" s="37"/>
      <c r="K21" s="37"/>
      <c r="L21" s="37"/>
      <c r="M21" s="37"/>
      <c r="N21" s="37"/>
      <c r="O21" s="37"/>
      <c r="P21" s="38"/>
    </row>
    <row r="22" spans="2:16" x14ac:dyDescent="0.25">
      <c r="B22" s="35"/>
      <c r="C22" s="23"/>
      <c r="D22" s="23"/>
      <c r="E22" s="23"/>
      <c r="F22" s="23"/>
      <c r="G22" s="37"/>
      <c r="H22" s="37"/>
      <c r="I22" s="37"/>
      <c r="J22" s="37"/>
      <c r="K22" s="37"/>
      <c r="L22" s="37"/>
      <c r="M22" s="37"/>
      <c r="N22" s="37"/>
      <c r="O22" s="37"/>
      <c r="P22" s="38"/>
    </row>
    <row r="23" spans="2:16" x14ac:dyDescent="0.25">
      <c r="B23" s="35"/>
      <c r="C23" s="37"/>
      <c r="D23" s="37"/>
      <c r="E23" s="37"/>
      <c r="F23" s="37"/>
      <c r="G23" s="37"/>
      <c r="H23" s="37"/>
      <c r="I23" s="37"/>
      <c r="J23" s="23"/>
      <c r="K23" s="23"/>
      <c r="L23" s="23"/>
      <c r="M23" s="23"/>
      <c r="N23" s="23"/>
      <c r="O23" s="37"/>
      <c r="P23" s="38"/>
    </row>
    <row r="24" spans="2:16" x14ac:dyDescent="0.25">
      <c r="B24" s="35"/>
      <c r="C24" s="23"/>
      <c r="D24" s="23"/>
      <c r="E24" s="23"/>
      <c r="F24" s="23"/>
      <c r="G24" s="37"/>
      <c r="H24" s="37"/>
      <c r="I24" s="37"/>
      <c r="J24" s="39" t="s">
        <v>186</v>
      </c>
      <c r="K24" s="23"/>
      <c r="L24" s="23"/>
      <c r="M24" s="23"/>
      <c r="N24" s="23"/>
      <c r="O24" s="37"/>
      <c r="P24" s="38"/>
    </row>
    <row r="25" spans="2:16" x14ac:dyDescent="0.25">
      <c r="B25" s="35"/>
      <c r="C25" s="23"/>
      <c r="D25" s="39" t="s">
        <v>178</v>
      </c>
      <c r="E25" s="23"/>
      <c r="F25" s="23"/>
      <c r="G25" s="37"/>
      <c r="H25" s="37"/>
      <c r="I25" s="37"/>
      <c r="J25" s="23"/>
      <c r="K25" s="23"/>
      <c r="L25" s="23"/>
      <c r="M25" s="23"/>
      <c r="N25" s="23"/>
      <c r="O25" s="37"/>
      <c r="P25" s="38"/>
    </row>
    <row r="26" spans="2:16" ht="12.75" customHeight="1" x14ac:dyDescent="0.25">
      <c r="B26" s="35"/>
      <c r="C26" s="23"/>
      <c r="D26" s="23" t="s">
        <v>179</v>
      </c>
      <c r="E26" s="44" t="s">
        <v>175</v>
      </c>
      <c r="F26" s="23"/>
      <c r="G26" s="37"/>
      <c r="H26" s="37"/>
      <c r="I26" s="37"/>
      <c r="J26" s="23"/>
      <c r="K26" s="61" t="s">
        <v>155</v>
      </c>
      <c r="L26" s="62"/>
      <c r="M26" s="41" t="s">
        <v>166</v>
      </c>
      <c r="N26" s="23"/>
      <c r="O26" s="37"/>
      <c r="P26" s="38"/>
    </row>
    <row r="27" spans="2:16" x14ac:dyDescent="0.25">
      <c r="B27" s="35"/>
      <c r="C27" s="23"/>
      <c r="D27" s="23" t="s">
        <v>180</v>
      </c>
      <c r="E27" s="44" t="s">
        <v>175</v>
      </c>
      <c r="F27" s="23"/>
      <c r="G27" s="37"/>
      <c r="H27" s="37"/>
      <c r="I27" s="37"/>
      <c r="J27" s="23"/>
      <c r="K27" s="61" t="s">
        <v>160</v>
      </c>
      <c r="L27" s="62"/>
      <c r="M27" s="41" t="s">
        <v>166</v>
      </c>
      <c r="N27" s="23"/>
      <c r="O27" s="37"/>
      <c r="P27" s="38"/>
    </row>
    <row r="28" spans="2:16" x14ac:dyDescent="0.25">
      <c r="B28" s="35"/>
      <c r="C28" s="23"/>
      <c r="D28" s="23"/>
      <c r="E28" s="23"/>
      <c r="F28" s="23"/>
      <c r="G28" s="37"/>
      <c r="H28" s="37"/>
      <c r="I28" s="37"/>
      <c r="J28" s="23"/>
      <c r="K28" s="23"/>
      <c r="L28" s="23"/>
      <c r="M28" s="23"/>
      <c r="N28" s="23"/>
      <c r="O28" s="37"/>
      <c r="P28" s="38"/>
    </row>
    <row r="29" spans="2:16" x14ac:dyDescent="0.25">
      <c r="B29" s="35"/>
      <c r="C29" s="23"/>
      <c r="D29" s="23" t="s">
        <v>181</v>
      </c>
      <c r="E29" s="44" t="s">
        <v>182</v>
      </c>
      <c r="F29" s="23"/>
      <c r="G29" s="37"/>
      <c r="H29" s="37"/>
      <c r="I29" s="37"/>
      <c r="J29" s="37"/>
      <c r="K29" s="37"/>
      <c r="L29" s="37"/>
      <c r="M29" s="37"/>
      <c r="N29" s="37"/>
      <c r="O29" s="37"/>
      <c r="P29" s="38"/>
    </row>
    <row r="30" spans="2:16" x14ac:dyDescent="0.25">
      <c r="B30" s="35"/>
      <c r="C30" s="23"/>
      <c r="D30" s="23"/>
      <c r="E30" s="23"/>
      <c r="F30" s="23"/>
      <c r="G30" s="37"/>
      <c r="H30" s="37"/>
      <c r="I30" s="37"/>
      <c r="J30" s="37"/>
      <c r="K30" s="37"/>
      <c r="L30" s="37"/>
      <c r="M30" s="37"/>
      <c r="N30" s="37"/>
      <c r="O30" s="37"/>
      <c r="P30" s="38"/>
    </row>
    <row r="31" spans="2:16" x14ac:dyDescent="0.25">
      <c r="B31" s="35"/>
      <c r="C31" s="23"/>
      <c r="D31" s="44" t="s">
        <v>183</v>
      </c>
      <c r="E31" s="23"/>
      <c r="F31" s="23"/>
      <c r="G31" s="37"/>
      <c r="H31" s="37"/>
      <c r="I31" s="37"/>
      <c r="J31" s="37"/>
      <c r="K31" s="37"/>
      <c r="L31" s="37"/>
      <c r="M31" s="37"/>
      <c r="N31" s="37"/>
      <c r="O31" s="37"/>
      <c r="P31" s="38"/>
    </row>
    <row r="32" spans="2:16" x14ac:dyDescent="0.25">
      <c r="B32" s="35"/>
      <c r="C32" s="23"/>
      <c r="D32" s="44" t="s">
        <v>184</v>
      </c>
      <c r="E32" s="23"/>
      <c r="F32" s="23"/>
      <c r="G32" s="37"/>
      <c r="H32" s="37"/>
      <c r="I32" s="37"/>
      <c r="J32" s="37"/>
      <c r="K32" s="37"/>
      <c r="L32" s="37"/>
      <c r="M32" s="37"/>
      <c r="N32" s="37"/>
      <c r="O32" s="37"/>
      <c r="P32" s="38"/>
    </row>
    <row r="33" spans="1:17" x14ac:dyDescent="0.25">
      <c r="B33" s="35"/>
      <c r="C33" s="23"/>
      <c r="D33" s="44" t="s">
        <v>185</v>
      </c>
      <c r="E33" s="23"/>
      <c r="F33" s="23"/>
      <c r="G33" s="37"/>
      <c r="H33" s="37"/>
      <c r="I33" s="37"/>
      <c r="J33" s="37"/>
      <c r="K33" s="37"/>
      <c r="L33" s="37"/>
      <c r="M33" s="37"/>
      <c r="N33" s="37"/>
      <c r="O33" s="37"/>
      <c r="P33" s="38"/>
    </row>
    <row r="34" spans="1:17" x14ac:dyDescent="0.25">
      <c r="B34" s="35"/>
      <c r="C34" s="23"/>
      <c r="D34" s="23"/>
      <c r="E34" s="23"/>
      <c r="F34" s="23"/>
      <c r="G34" s="37"/>
      <c r="H34" s="37"/>
      <c r="I34" s="37"/>
      <c r="J34" s="37"/>
      <c r="K34" s="37"/>
      <c r="L34" s="37"/>
      <c r="M34" s="37"/>
      <c r="N34" s="37"/>
      <c r="O34" s="37"/>
      <c r="P34" s="38"/>
    </row>
    <row r="35" spans="1:17" x14ac:dyDescent="0.25">
      <c r="B35" s="35"/>
      <c r="C35" s="23"/>
      <c r="D35" s="23"/>
      <c r="E35" s="23"/>
      <c r="F35" s="23"/>
      <c r="G35" s="37"/>
      <c r="H35" s="37"/>
      <c r="I35" s="37"/>
      <c r="J35" s="37"/>
      <c r="K35" s="37"/>
      <c r="L35" s="37"/>
      <c r="M35" s="37"/>
      <c r="N35" s="37"/>
      <c r="O35" s="37"/>
      <c r="P35" s="38"/>
    </row>
    <row r="36" spans="1:17" x14ac:dyDescent="0.25">
      <c r="B36" s="35"/>
      <c r="C36" s="23"/>
      <c r="D36" s="23"/>
      <c r="E36" s="23"/>
      <c r="F36" s="23"/>
      <c r="G36" s="37"/>
      <c r="H36" s="37"/>
      <c r="I36" s="37"/>
      <c r="J36" s="37"/>
      <c r="K36" s="37"/>
      <c r="L36" s="37"/>
      <c r="M36" s="37"/>
      <c r="N36" s="37"/>
      <c r="O36" s="37"/>
      <c r="P36" s="38"/>
    </row>
    <row r="37" spans="1:17" x14ac:dyDescent="0.25">
      <c r="B37" s="35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8"/>
    </row>
    <row r="38" spans="1:17" x14ac:dyDescent="0.25">
      <c r="B38" s="35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8"/>
    </row>
    <row r="39" spans="1:17" x14ac:dyDescent="0.25">
      <c r="B39" s="35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8"/>
    </row>
    <row r="40" spans="1:17" x14ac:dyDescent="0.25">
      <c r="B40" s="45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7"/>
    </row>
    <row r="42" spans="1:17" ht="15.6" x14ac:dyDescent="0.3">
      <c r="A42" s="49" t="s">
        <v>189</v>
      </c>
    </row>
    <row r="47" spans="1:17" x14ac:dyDescent="0.25">
      <c r="Q47" s="48"/>
    </row>
    <row r="49" spans="14:25" x14ac:dyDescent="0.25">
      <c r="N49" s="50"/>
      <c r="O49" s="51"/>
      <c r="P49" s="50"/>
      <c r="Q49" s="50"/>
      <c r="R49" s="50"/>
      <c r="S49" s="51"/>
      <c r="T49" s="50"/>
      <c r="U49" s="50"/>
      <c r="V49" s="51"/>
      <c r="W49" s="50"/>
      <c r="X49" s="50"/>
      <c r="Y49" s="50"/>
    </row>
    <row r="50" spans="14:25" x14ac:dyDescent="0.25"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</row>
    <row r="51" spans="14:25" x14ac:dyDescent="0.25"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</row>
    <row r="52" spans="14:25" x14ac:dyDescent="0.25">
      <c r="N52" s="50"/>
      <c r="O52" s="51"/>
      <c r="P52" s="50"/>
      <c r="Q52" s="50"/>
      <c r="R52" s="50"/>
      <c r="S52" s="50"/>
      <c r="T52" s="50"/>
      <c r="U52" s="50"/>
      <c r="V52" s="50"/>
      <c r="W52" s="50"/>
      <c r="X52" s="50"/>
      <c r="Y52" s="50"/>
    </row>
    <row r="53" spans="14:25" x14ac:dyDescent="0.25">
      <c r="N53" s="50"/>
      <c r="O53" s="51"/>
      <c r="P53" s="50"/>
      <c r="Q53" s="50"/>
      <c r="R53" s="50"/>
      <c r="S53" s="50"/>
      <c r="T53" s="50"/>
      <c r="U53" s="50"/>
      <c r="V53" s="50"/>
      <c r="W53" s="50"/>
      <c r="X53" s="50"/>
      <c r="Y53" s="50"/>
    </row>
    <row r="54" spans="14:25" x14ac:dyDescent="0.25"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</row>
    <row r="55" spans="14:25" x14ac:dyDescent="0.25"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</row>
    <row r="56" spans="14:25" x14ac:dyDescent="0.25">
      <c r="N56" s="50"/>
      <c r="O56" s="50"/>
      <c r="P56" s="50"/>
      <c r="Q56" s="50"/>
      <c r="R56" s="50"/>
      <c r="S56" s="50"/>
      <c r="T56" s="50"/>
      <c r="U56" s="50"/>
      <c r="V56" s="50"/>
      <c r="W56" s="51"/>
      <c r="X56" s="50"/>
      <c r="Y56" s="50"/>
    </row>
    <row r="57" spans="14:25" x14ac:dyDescent="0.25">
      <c r="N57" s="50"/>
      <c r="O57" s="51"/>
      <c r="P57" s="50"/>
      <c r="Q57" s="50"/>
      <c r="R57" s="50"/>
      <c r="S57" s="50"/>
      <c r="T57" s="50"/>
      <c r="U57" s="50"/>
      <c r="V57" s="50"/>
      <c r="W57" s="50"/>
      <c r="X57" s="50"/>
      <c r="Y57" s="50"/>
    </row>
    <row r="58" spans="14:25" x14ac:dyDescent="0.25"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</row>
    <row r="59" spans="14:25" x14ac:dyDescent="0.25"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</row>
    <row r="60" spans="14:25" x14ac:dyDescent="0.25"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</row>
    <row r="61" spans="14:25" x14ac:dyDescent="0.25">
      <c r="N61" s="50"/>
      <c r="O61" s="50"/>
      <c r="P61" s="50"/>
      <c r="Q61" s="50"/>
      <c r="R61" s="50"/>
      <c r="S61" s="51"/>
      <c r="T61" s="50"/>
      <c r="U61" s="50"/>
      <c r="V61" s="50"/>
      <c r="W61" s="50"/>
      <c r="X61" s="50"/>
      <c r="Y61" s="50"/>
    </row>
    <row r="62" spans="14:25" x14ac:dyDescent="0.25"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</row>
    <row r="63" spans="14:25" x14ac:dyDescent="0.25"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</row>
    <row r="64" spans="14:25" x14ac:dyDescent="0.25"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</row>
    <row r="65" spans="14:25" x14ac:dyDescent="0.25"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</row>
    <row r="66" spans="14:25" x14ac:dyDescent="0.25"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</row>
  </sheetData>
  <mergeCells count="2">
    <mergeCell ref="K26:L26"/>
    <mergeCell ref="K27:L27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69BFC-6A40-4B7E-8151-ADC2ADDC0139}">
  <dimension ref="A1:R46"/>
  <sheetViews>
    <sheetView tabSelected="1" workbookViewId="0">
      <pane xSplit="5" ySplit="4" topLeftCell="F5" activePane="bottomRight" state="frozen"/>
      <selection pane="topRight" activeCell="E1" sqref="E1"/>
      <selection pane="bottomLeft" activeCell="A5" sqref="A5"/>
      <selection pane="bottomRight" activeCell="D5" sqref="D5:E33"/>
    </sheetView>
  </sheetViews>
  <sheetFormatPr baseColWidth="10" defaultRowHeight="13.2" x14ac:dyDescent="0.25"/>
  <cols>
    <col min="1" max="1" width="14.109375" customWidth="1"/>
    <col min="2" max="2" width="46.88671875" customWidth="1"/>
    <col min="3" max="3" width="12" customWidth="1"/>
    <col min="4" max="4" width="36.77734375" bestFit="1" customWidth="1"/>
    <col min="5" max="5" width="18" customWidth="1"/>
    <col min="6" max="6" width="21.77734375" customWidth="1"/>
  </cols>
  <sheetData>
    <row r="1" spans="1:18" x14ac:dyDescent="0.25">
      <c r="G1" s="63" t="s">
        <v>191</v>
      </c>
      <c r="H1" s="63"/>
      <c r="I1" s="63"/>
      <c r="J1" s="63"/>
      <c r="K1" s="63"/>
      <c r="L1" s="63"/>
      <c r="M1" s="63" t="s">
        <v>200</v>
      </c>
      <c r="N1" s="63"/>
      <c r="O1" s="63"/>
      <c r="P1" s="63"/>
      <c r="Q1" s="63"/>
      <c r="R1" s="63"/>
    </row>
    <row r="2" spans="1:18" x14ac:dyDescent="0.25">
      <c r="F2" t="s">
        <v>207</v>
      </c>
      <c r="G2" s="63" t="s">
        <v>192</v>
      </c>
      <c r="H2" s="63"/>
      <c r="I2" s="63"/>
      <c r="J2" s="63" t="s">
        <v>193</v>
      </c>
      <c r="K2" s="63"/>
      <c r="L2" s="63"/>
      <c r="M2" s="63" t="s">
        <v>201</v>
      </c>
      <c r="N2" s="63"/>
      <c r="O2" s="63"/>
      <c r="P2" s="63" t="s">
        <v>202</v>
      </c>
      <c r="Q2" s="63"/>
      <c r="R2" s="63"/>
    </row>
    <row r="3" spans="1:18" x14ac:dyDescent="0.25">
      <c r="F3" t="s">
        <v>208</v>
      </c>
      <c r="G3" s="63" t="s">
        <v>203</v>
      </c>
      <c r="H3" s="63"/>
      <c r="I3" s="63"/>
      <c r="J3" s="63" t="s">
        <v>203</v>
      </c>
      <c r="K3" s="63"/>
      <c r="L3" s="63"/>
      <c r="M3" s="63" t="s">
        <v>204</v>
      </c>
      <c r="N3" s="63"/>
      <c r="O3" s="63"/>
      <c r="P3" s="63" t="s">
        <v>205</v>
      </c>
      <c r="Q3" s="63"/>
      <c r="R3" s="63"/>
    </row>
    <row r="4" spans="1:18" x14ac:dyDescent="0.25">
      <c r="B4" t="s">
        <v>194</v>
      </c>
      <c r="C4" t="s">
        <v>282</v>
      </c>
      <c r="D4" t="s">
        <v>199</v>
      </c>
      <c r="E4" t="s">
        <v>287</v>
      </c>
      <c r="F4" t="s">
        <v>209</v>
      </c>
      <c r="G4" t="s">
        <v>196</v>
      </c>
      <c r="H4" t="s">
        <v>197</v>
      </c>
      <c r="I4" t="s">
        <v>198</v>
      </c>
      <c r="J4" t="s">
        <v>196</v>
      </c>
      <c r="K4" t="s">
        <v>197</v>
      </c>
      <c r="L4" t="s">
        <v>198</v>
      </c>
      <c r="M4" t="s">
        <v>196</v>
      </c>
      <c r="N4" t="s">
        <v>197</v>
      </c>
      <c r="O4" t="s">
        <v>198</v>
      </c>
      <c r="P4" t="s">
        <v>196</v>
      </c>
      <c r="Q4" t="s">
        <v>197</v>
      </c>
      <c r="R4" t="s">
        <v>198</v>
      </c>
    </row>
    <row r="5" spans="1:18" x14ac:dyDescent="0.25">
      <c r="A5" s="64" t="s">
        <v>190</v>
      </c>
      <c r="B5" t="s">
        <v>195</v>
      </c>
      <c r="D5" t="s">
        <v>206</v>
      </c>
      <c r="E5" t="s">
        <v>221</v>
      </c>
    </row>
    <row r="6" spans="1:18" x14ac:dyDescent="0.25">
      <c r="A6" s="64"/>
      <c r="B6" t="s">
        <v>215</v>
      </c>
      <c r="D6" t="s">
        <v>214</v>
      </c>
      <c r="E6" t="s">
        <v>221</v>
      </c>
    </row>
    <row r="7" spans="1:18" x14ac:dyDescent="0.25">
      <c r="A7" s="64"/>
      <c r="B7" t="s">
        <v>216</v>
      </c>
      <c r="C7" t="s">
        <v>284</v>
      </c>
      <c r="D7" t="s">
        <v>217</v>
      </c>
      <c r="E7" t="s">
        <v>221</v>
      </c>
    </row>
    <row r="8" spans="1:18" x14ac:dyDescent="0.25">
      <c r="A8" s="64"/>
      <c r="B8" t="s">
        <v>218</v>
      </c>
      <c r="D8" t="s">
        <v>220</v>
      </c>
      <c r="E8" t="s">
        <v>222</v>
      </c>
    </row>
    <row r="9" spans="1:18" x14ac:dyDescent="0.25">
      <c r="A9" s="64"/>
      <c r="B9" t="s">
        <v>219</v>
      </c>
      <c r="C9" t="s">
        <v>284</v>
      </c>
      <c r="D9" t="s">
        <v>212</v>
      </c>
      <c r="E9" t="s">
        <v>223</v>
      </c>
    </row>
    <row r="10" spans="1:18" x14ac:dyDescent="0.25">
      <c r="A10" s="64"/>
      <c r="B10" t="s">
        <v>211</v>
      </c>
      <c r="D10" t="s">
        <v>213</v>
      </c>
      <c r="E10" t="s">
        <v>221</v>
      </c>
    </row>
    <row r="11" spans="1:18" x14ac:dyDescent="0.25">
      <c r="A11" s="64" t="s">
        <v>235</v>
      </c>
      <c r="B11" s="3" t="s">
        <v>276</v>
      </c>
      <c r="D11" t="s">
        <v>210</v>
      </c>
      <c r="E11" t="s">
        <v>222</v>
      </c>
    </row>
    <row r="12" spans="1:18" x14ac:dyDescent="0.25">
      <c r="A12" s="64"/>
      <c r="B12" t="s">
        <v>234</v>
      </c>
      <c r="D12" t="s">
        <v>277</v>
      </c>
      <c r="E12" t="s">
        <v>222</v>
      </c>
    </row>
    <row r="13" spans="1:18" x14ac:dyDescent="0.25">
      <c r="A13" s="64"/>
      <c r="B13" s="65" t="s">
        <v>233</v>
      </c>
      <c r="C13" s="1"/>
      <c r="D13" t="s">
        <v>210</v>
      </c>
      <c r="E13" t="s">
        <v>222</v>
      </c>
    </row>
    <row r="14" spans="1:18" x14ac:dyDescent="0.25">
      <c r="A14" s="64" t="s">
        <v>224</v>
      </c>
      <c r="B14" t="s">
        <v>226</v>
      </c>
      <c r="D14" t="s">
        <v>230</v>
      </c>
      <c r="E14" t="s">
        <v>222</v>
      </c>
    </row>
    <row r="15" spans="1:18" x14ac:dyDescent="0.25">
      <c r="A15" s="64"/>
      <c r="B15" t="s">
        <v>225</v>
      </c>
      <c r="D15" t="s">
        <v>230</v>
      </c>
      <c r="E15" t="s">
        <v>222</v>
      </c>
    </row>
    <row r="16" spans="1:18" x14ac:dyDescent="0.25">
      <c r="A16" s="64"/>
      <c r="B16" t="s">
        <v>227</v>
      </c>
      <c r="C16" t="s">
        <v>283</v>
      </c>
      <c r="D16" t="s">
        <v>230</v>
      </c>
      <c r="E16" t="s">
        <v>222</v>
      </c>
    </row>
    <row r="17" spans="1:5" x14ac:dyDescent="0.25">
      <c r="A17" s="64"/>
      <c r="B17" t="s">
        <v>228</v>
      </c>
      <c r="D17" t="s">
        <v>285</v>
      </c>
      <c r="E17" t="s">
        <v>222</v>
      </c>
    </row>
    <row r="18" spans="1:5" x14ac:dyDescent="0.25">
      <c r="A18" s="64"/>
      <c r="B18" t="s">
        <v>286</v>
      </c>
      <c r="D18" t="s">
        <v>229</v>
      </c>
      <c r="E18" t="s">
        <v>222</v>
      </c>
    </row>
    <row r="19" spans="1:5" x14ac:dyDescent="0.25">
      <c r="A19" s="64"/>
      <c r="B19" s="3" t="s">
        <v>231</v>
      </c>
      <c r="D19" t="s">
        <v>280</v>
      </c>
      <c r="E19" t="s">
        <v>222</v>
      </c>
    </row>
    <row r="20" spans="1:5" x14ac:dyDescent="0.25">
      <c r="A20" s="64" t="s">
        <v>236</v>
      </c>
      <c r="B20" t="s">
        <v>279</v>
      </c>
      <c r="D20" t="s">
        <v>232</v>
      </c>
      <c r="E20" t="s">
        <v>222</v>
      </c>
    </row>
    <row r="21" spans="1:5" x14ac:dyDescent="0.25">
      <c r="A21" s="64"/>
      <c r="B21" t="s">
        <v>279</v>
      </c>
      <c r="D21" t="s">
        <v>232</v>
      </c>
      <c r="E21" t="s">
        <v>0</v>
      </c>
    </row>
    <row r="22" spans="1:5" x14ac:dyDescent="0.25">
      <c r="A22" s="64"/>
      <c r="B22" t="s">
        <v>278</v>
      </c>
      <c r="D22" t="s">
        <v>232</v>
      </c>
      <c r="E22" t="s">
        <v>222</v>
      </c>
    </row>
    <row r="23" spans="1:5" x14ac:dyDescent="0.25">
      <c r="A23" s="64"/>
      <c r="B23" t="s">
        <v>278</v>
      </c>
      <c r="D23" t="s">
        <v>232</v>
      </c>
      <c r="E23" t="s">
        <v>0</v>
      </c>
    </row>
    <row r="24" spans="1:5" x14ac:dyDescent="0.25">
      <c r="A24" s="64" t="s">
        <v>237</v>
      </c>
      <c r="B24" t="s">
        <v>245</v>
      </c>
      <c r="D24" t="s">
        <v>243</v>
      </c>
      <c r="E24" t="s">
        <v>222</v>
      </c>
    </row>
    <row r="25" spans="1:5" x14ac:dyDescent="0.25">
      <c r="A25" s="64"/>
      <c r="B25" s="3" t="s">
        <v>244</v>
      </c>
      <c r="D25" t="s">
        <v>243</v>
      </c>
      <c r="E25" t="s">
        <v>222</v>
      </c>
    </row>
    <row r="26" spans="1:5" x14ac:dyDescent="0.25">
      <c r="A26" s="64" t="s">
        <v>238</v>
      </c>
      <c r="B26" t="s">
        <v>265</v>
      </c>
      <c r="D26" t="s">
        <v>268</v>
      </c>
      <c r="E26" t="s">
        <v>0</v>
      </c>
    </row>
    <row r="27" spans="1:5" x14ac:dyDescent="0.25">
      <c r="A27" s="64"/>
      <c r="B27" t="s">
        <v>272</v>
      </c>
      <c r="D27" t="s">
        <v>281</v>
      </c>
      <c r="E27" t="s">
        <v>0</v>
      </c>
    </row>
    <row r="28" spans="1:5" x14ac:dyDescent="0.25">
      <c r="A28" s="64"/>
      <c r="B28" t="s">
        <v>242</v>
      </c>
      <c r="D28" t="s">
        <v>273</v>
      </c>
      <c r="E28" t="s">
        <v>275</v>
      </c>
    </row>
    <row r="29" spans="1:5" x14ac:dyDescent="0.25">
      <c r="A29" s="64"/>
      <c r="B29" t="s">
        <v>266</v>
      </c>
      <c r="D29" t="s">
        <v>269</v>
      </c>
      <c r="E29" t="s">
        <v>222</v>
      </c>
    </row>
    <row r="30" spans="1:5" x14ac:dyDescent="0.25">
      <c r="A30" s="64"/>
      <c r="B30" t="s">
        <v>272</v>
      </c>
      <c r="D30" t="s">
        <v>281</v>
      </c>
      <c r="E30" t="s">
        <v>275</v>
      </c>
    </row>
    <row r="31" spans="1:5" x14ac:dyDescent="0.25">
      <c r="A31" s="64"/>
      <c r="B31" t="s">
        <v>242</v>
      </c>
      <c r="D31" t="s">
        <v>274</v>
      </c>
      <c r="E31" t="s">
        <v>222</v>
      </c>
    </row>
    <row r="32" spans="1:5" x14ac:dyDescent="0.25">
      <c r="A32" s="64"/>
      <c r="B32" t="s">
        <v>267</v>
      </c>
      <c r="D32" t="s">
        <v>270</v>
      </c>
      <c r="E32" t="s">
        <v>0</v>
      </c>
    </row>
    <row r="33" spans="1:5" x14ac:dyDescent="0.25">
      <c r="A33" s="64"/>
      <c r="B33" t="s">
        <v>267</v>
      </c>
      <c r="D33" t="s">
        <v>271</v>
      </c>
      <c r="E33" t="s">
        <v>222</v>
      </c>
    </row>
    <row r="34" spans="1:5" x14ac:dyDescent="0.25">
      <c r="A34" s="52" t="s">
        <v>239</v>
      </c>
    </row>
    <row r="35" spans="1:5" x14ac:dyDescent="0.25">
      <c r="A35" s="52" t="s">
        <v>240</v>
      </c>
    </row>
    <row r="36" spans="1:5" x14ac:dyDescent="0.25">
      <c r="A36" s="52" t="s">
        <v>241</v>
      </c>
    </row>
    <row r="41" spans="1:5" x14ac:dyDescent="0.25">
      <c r="A41" s="52"/>
    </row>
    <row r="46" spans="1:5" x14ac:dyDescent="0.25">
      <c r="B46" s="1"/>
      <c r="C46" s="1"/>
    </row>
  </sheetData>
  <mergeCells count="16">
    <mergeCell ref="A26:A33"/>
    <mergeCell ref="A11:A13"/>
    <mergeCell ref="A24:A25"/>
    <mergeCell ref="G3:I3"/>
    <mergeCell ref="A20:A23"/>
    <mergeCell ref="J3:L3"/>
    <mergeCell ref="M3:O3"/>
    <mergeCell ref="P3:R3"/>
    <mergeCell ref="A5:A10"/>
    <mergeCell ref="A14:A19"/>
    <mergeCell ref="G1:L1"/>
    <mergeCell ref="G2:I2"/>
    <mergeCell ref="J2:L2"/>
    <mergeCell ref="M1:R1"/>
    <mergeCell ref="M2:O2"/>
    <mergeCell ref="P2:R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62721-BD13-4B5C-BBE2-5E81FDB81FE1}">
  <dimension ref="A1:G27"/>
  <sheetViews>
    <sheetView workbookViewId="0">
      <selection activeCell="G10" sqref="B10:G19"/>
    </sheetView>
  </sheetViews>
  <sheetFormatPr baseColWidth="10" defaultRowHeight="13.2" x14ac:dyDescent="0.25"/>
  <cols>
    <col min="6" max="6" width="14.21875" customWidth="1"/>
    <col min="7" max="7" width="55.109375" bestFit="1" customWidth="1"/>
  </cols>
  <sheetData>
    <row r="1" spans="1:7" x14ac:dyDescent="0.25">
      <c r="B1" t="s">
        <v>246</v>
      </c>
      <c r="C1" t="s">
        <v>247</v>
      </c>
      <c r="D1" t="s">
        <v>248</v>
      </c>
      <c r="E1" t="s">
        <v>179</v>
      </c>
      <c r="F1" t="s">
        <v>249</v>
      </c>
      <c r="G1" t="s">
        <v>250</v>
      </c>
    </row>
    <row r="2" spans="1:7" x14ac:dyDescent="0.25">
      <c r="A2" t="s">
        <v>251</v>
      </c>
      <c r="B2" t="s">
        <v>252</v>
      </c>
      <c r="C2">
        <v>50</v>
      </c>
      <c r="D2" t="s">
        <v>67</v>
      </c>
      <c r="F2" t="s">
        <v>253</v>
      </c>
      <c r="G2" t="s">
        <v>254</v>
      </c>
    </row>
    <row r="3" spans="1:7" x14ac:dyDescent="0.25">
      <c r="A3" t="s">
        <v>251</v>
      </c>
      <c r="B3" t="s">
        <v>252</v>
      </c>
      <c r="C3">
        <v>50</v>
      </c>
      <c r="D3" t="s">
        <v>67</v>
      </c>
      <c r="E3" t="s">
        <v>67</v>
      </c>
      <c r="F3" t="s">
        <v>255</v>
      </c>
      <c r="G3" t="s">
        <v>254</v>
      </c>
    </row>
    <row r="4" spans="1:7" x14ac:dyDescent="0.25">
      <c r="A4" t="s">
        <v>251</v>
      </c>
      <c r="B4" t="s">
        <v>252</v>
      </c>
      <c r="C4">
        <v>50</v>
      </c>
      <c r="E4" t="s">
        <v>67</v>
      </c>
      <c r="F4" s="2" t="s">
        <v>255</v>
      </c>
      <c r="G4" t="s">
        <v>254</v>
      </c>
    </row>
    <row r="5" spans="1:7" x14ac:dyDescent="0.25">
      <c r="A5" t="s">
        <v>256</v>
      </c>
      <c r="B5" t="s">
        <v>252</v>
      </c>
      <c r="C5">
        <v>35</v>
      </c>
      <c r="D5" t="s">
        <v>67</v>
      </c>
      <c r="F5" t="s">
        <v>253</v>
      </c>
      <c r="G5" t="s">
        <v>254</v>
      </c>
    </row>
    <row r="6" spans="1:7" x14ac:dyDescent="0.25">
      <c r="A6" t="s">
        <v>256</v>
      </c>
      <c r="B6" t="s">
        <v>252</v>
      </c>
      <c r="C6">
        <v>35</v>
      </c>
      <c r="D6" t="s">
        <v>67</v>
      </c>
      <c r="E6" t="s">
        <v>67</v>
      </c>
      <c r="F6" t="s">
        <v>255</v>
      </c>
      <c r="G6" t="s">
        <v>254</v>
      </c>
    </row>
    <row r="7" spans="1:7" x14ac:dyDescent="0.25">
      <c r="A7" t="s">
        <v>256</v>
      </c>
      <c r="B7" t="s">
        <v>252</v>
      </c>
      <c r="C7">
        <v>35</v>
      </c>
      <c r="E7" t="s">
        <v>67</v>
      </c>
      <c r="F7" s="2" t="s">
        <v>255</v>
      </c>
      <c r="G7" t="s">
        <v>254</v>
      </c>
    </row>
    <row r="8" spans="1:7" x14ac:dyDescent="0.25">
      <c r="A8" t="s">
        <v>251</v>
      </c>
      <c r="B8" t="s">
        <v>257</v>
      </c>
      <c r="C8">
        <v>30</v>
      </c>
      <c r="D8" t="s">
        <v>67</v>
      </c>
      <c r="F8" t="s">
        <v>253</v>
      </c>
      <c r="G8" t="s">
        <v>254</v>
      </c>
    </row>
    <row r="9" spans="1:7" x14ac:dyDescent="0.25">
      <c r="A9" t="s">
        <v>251</v>
      </c>
      <c r="B9" t="s">
        <v>257</v>
      </c>
      <c r="C9">
        <v>30</v>
      </c>
      <c r="D9" t="s">
        <v>67</v>
      </c>
      <c r="E9" t="s">
        <v>67</v>
      </c>
      <c r="F9" t="s">
        <v>255</v>
      </c>
      <c r="G9" t="s">
        <v>254</v>
      </c>
    </row>
    <row r="10" spans="1:7" x14ac:dyDescent="0.25">
      <c r="A10" t="s">
        <v>251</v>
      </c>
      <c r="B10" t="s">
        <v>257</v>
      </c>
      <c r="C10">
        <v>30</v>
      </c>
      <c r="E10" t="s">
        <v>67</v>
      </c>
      <c r="F10" s="2" t="s">
        <v>255</v>
      </c>
      <c r="G10" t="s">
        <v>254</v>
      </c>
    </row>
    <row r="11" spans="1:7" x14ac:dyDescent="0.25">
      <c r="A11" t="s">
        <v>256</v>
      </c>
      <c r="B11" t="s">
        <v>257</v>
      </c>
      <c r="C11">
        <v>10</v>
      </c>
      <c r="D11" t="s">
        <v>67</v>
      </c>
      <c r="F11" t="s">
        <v>253</v>
      </c>
      <c r="G11" t="s">
        <v>254</v>
      </c>
    </row>
    <row r="12" spans="1:7" x14ac:dyDescent="0.25">
      <c r="A12" t="s">
        <v>256</v>
      </c>
      <c r="B12" t="s">
        <v>257</v>
      </c>
      <c r="C12">
        <v>10</v>
      </c>
      <c r="D12" t="s">
        <v>67</v>
      </c>
      <c r="E12" t="s">
        <v>67</v>
      </c>
      <c r="F12" t="s">
        <v>255</v>
      </c>
      <c r="G12" t="s">
        <v>254</v>
      </c>
    </row>
    <row r="13" spans="1:7" x14ac:dyDescent="0.25">
      <c r="A13" t="s">
        <v>256</v>
      </c>
      <c r="B13" t="s">
        <v>257</v>
      </c>
      <c r="C13">
        <v>10</v>
      </c>
      <c r="E13" t="s">
        <v>67</v>
      </c>
      <c r="F13" t="s">
        <v>255</v>
      </c>
      <c r="G13" t="s">
        <v>254</v>
      </c>
    </row>
    <row r="14" spans="1:7" x14ac:dyDescent="0.25">
      <c r="A14" t="s">
        <v>251</v>
      </c>
      <c r="B14" t="s">
        <v>258</v>
      </c>
      <c r="C14">
        <v>50</v>
      </c>
      <c r="D14" t="s">
        <v>67</v>
      </c>
      <c r="F14" t="s">
        <v>253</v>
      </c>
      <c r="G14" t="s">
        <v>259</v>
      </c>
    </row>
    <row r="15" spans="1:7" x14ac:dyDescent="0.25">
      <c r="A15" t="s">
        <v>251</v>
      </c>
      <c r="B15" t="s">
        <v>258</v>
      </c>
      <c r="C15">
        <v>50</v>
      </c>
      <c r="D15" t="s">
        <v>67</v>
      </c>
      <c r="E15" t="s">
        <v>67</v>
      </c>
      <c r="F15" t="s">
        <v>255</v>
      </c>
      <c r="G15" s="2" t="s">
        <v>259</v>
      </c>
    </row>
    <row r="16" spans="1:7" x14ac:dyDescent="0.25">
      <c r="A16" t="s">
        <v>251</v>
      </c>
      <c r="B16" t="s">
        <v>258</v>
      </c>
      <c r="C16">
        <v>50</v>
      </c>
      <c r="E16" t="s">
        <v>67</v>
      </c>
      <c r="F16" s="2" t="s">
        <v>255</v>
      </c>
      <c r="G16" s="2" t="s">
        <v>259</v>
      </c>
    </row>
    <row r="17" spans="1:7" x14ac:dyDescent="0.25">
      <c r="A17" t="s">
        <v>256</v>
      </c>
      <c r="B17" t="s">
        <v>260</v>
      </c>
      <c r="C17">
        <v>5</v>
      </c>
      <c r="D17" t="s">
        <v>67</v>
      </c>
      <c r="F17" t="s">
        <v>253</v>
      </c>
      <c r="G17" s="2" t="s">
        <v>259</v>
      </c>
    </row>
    <row r="18" spans="1:7" x14ac:dyDescent="0.25">
      <c r="A18" t="s">
        <v>256</v>
      </c>
      <c r="B18" t="s">
        <v>260</v>
      </c>
      <c r="C18">
        <v>5</v>
      </c>
      <c r="D18" t="s">
        <v>67</v>
      </c>
      <c r="E18" t="s">
        <v>67</v>
      </c>
      <c r="F18" t="s">
        <v>255</v>
      </c>
      <c r="G18" s="2" t="s">
        <v>259</v>
      </c>
    </row>
    <row r="19" spans="1:7" x14ac:dyDescent="0.25">
      <c r="A19" t="s">
        <v>256</v>
      </c>
      <c r="B19" t="s">
        <v>260</v>
      </c>
      <c r="C19">
        <v>5</v>
      </c>
      <c r="E19" t="s">
        <v>67</v>
      </c>
      <c r="F19" s="2" t="s">
        <v>255</v>
      </c>
      <c r="G19" s="2" t="s">
        <v>259</v>
      </c>
    </row>
    <row r="20" spans="1:7" x14ac:dyDescent="0.25">
      <c r="A20" t="s">
        <v>251</v>
      </c>
      <c r="B20" t="s">
        <v>261</v>
      </c>
      <c r="C20">
        <v>50</v>
      </c>
      <c r="D20" t="s">
        <v>67</v>
      </c>
      <c r="F20" t="s">
        <v>253</v>
      </c>
      <c r="G20" t="s">
        <v>262</v>
      </c>
    </row>
    <row r="21" spans="1:7" x14ac:dyDescent="0.25">
      <c r="A21" t="s">
        <v>251</v>
      </c>
      <c r="B21" t="s">
        <v>261</v>
      </c>
      <c r="C21">
        <v>50</v>
      </c>
      <c r="D21" t="s">
        <v>67</v>
      </c>
      <c r="E21" t="s">
        <v>67</v>
      </c>
      <c r="F21" t="s">
        <v>255</v>
      </c>
      <c r="G21" t="s">
        <v>262</v>
      </c>
    </row>
    <row r="22" spans="1:7" x14ac:dyDescent="0.25">
      <c r="A22" t="s">
        <v>251</v>
      </c>
      <c r="B22" t="s">
        <v>261</v>
      </c>
      <c r="C22">
        <v>50</v>
      </c>
      <c r="E22" t="s">
        <v>67</v>
      </c>
      <c r="F22" s="2" t="s">
        <v>255</v>
      </c>
      <c r="G22" t="s">
        <v>262</v>
      </c>
    </row>
    <row r="23" spans="1:7" x14ac:dyDescent="0.25">
      <c r="A23" t="s">
        <v>256</v>
      </c>
      <c r="B23" t="s">
        <v>261</v>
      </c>
      <c r="C23">
        <v>15</v>
      </c>
      <c r="D23" t="s">
        <v>67</v>
      </c>
      <c r="F23" t="s">
        <v>253</v>
      </c>
      <c r="G23" t="s">
        <v>262</v>
      </c>
    </row>
    <row r="24" spans="1:7" x14ac:dyDescent="0.25">
      <c r="A24" t="s">
        <v>256</v>
      </c>
      <c r="B24" t="s">
        <v>261</v>
      </c>
      <c r="C24">
        <v>15</v>
      </c>
      <c r="D24" t="s">
        <v>67</v>
      </c>
      <c r="E24" t="s">
        <v>67</v>
      </c>
      <c r="F24" t="s">
        <v>255</v>
      </c>
      <c r="G24" t="s">
        <v>262</v>
      </c>
    </row>
    <row r="25" spans="1:7" x14ac:dyDescent="0.25">
      <c r="A25" t="s">
        <v>256</v>
      </c>
      <c r="B25" t="s">
        <v>261</v>
      </c>
      <c r="C25">
        <v>15</v>
      </c>
      <c r="E25" t="s">
        <v>67</v>
      </c>
      <c r="F25" s="2" t="s">
        <v>255</v>
      </c>
      <c r="G25" t="s">
        <v>262</v>
      </c>
    </row>
    <row r="26" spans="1:7" x14ac:dyDescent="0.25">
      <c r="A26" s="53"/>
      <c r="B26" s="53"/>
      <c r="C26" s="53"/>
      <c r="D26" s="53"/>
      <c r="E26" s="53"/>
      <c r="F26" s="53"/>
      <c r="G26" s="53" t="s">
        <v>263</v>
      </c>
    </row>
    <row r="27" spans="1:7" x14ac:dyDescent="0.25">
      <c r="A27" s="53"/>
      <c r="B27" s="53"/>
      <c r="C27" s="53"/>
      <c r="D27" s="53"/>
      <c r="E27" s="53"/>
      <c r="F27" s="53"/>
      <c r="G27" s="53" t="s">
        <v>264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SC xmlns="6c5f60d6-849e-4e35-a930-5215842d20d1">1</ISC>
    <Conversation-Topic xmlns="bca0bc44-19d1-4824-98a4-321de56310bf" xsi:nil="true"/>
    <RB_DMS_ORIG_NAME xmlns="http://schemas.microsoft.com/sharepoint/v3" xsi:nil="true"/>
    <RB_DMS_SAP_METADATA xmlns="http://schemas.microsoft.com/sharepoint/v3" xsi:nil="true"/>
    <Received xmlns="bca0bc44-19d1-4824-98a4-321de56310bf" xsi:nil="true"/>
    <Importance xmlns="bca0bc44-19d1-4824-98a4-321de56310bf" xsi:nil="true"/>
    <MessageClass xmlns="bca0bc44-19d1-4824-98a4-321de56310bf" xsi:nil="true"/>
    <ArchivingPeriod xmlns="6c5f60d6-849e-4e35-a930-5215842d20d1">15</ArchivingPeriod>
    <Safeguarding xmlns="6c5f60d6-849e-4e35-a930-5215842d20d1">No</Safeguarding>
    <Conversation-Index xmlns="bca0bc44-19d1-4824-98a4-321de56310bf" xsi:nil="true"/>
    <IconOverlay xmlns="http://schemas.microsoft.com/sharepoint/v4" xsi:nil="true"/>
    <Bcc xmlns="bca0bc44-19d1-4824-98a4-321de56310bf" xsi:nil="true"/>
    <Sensitivity xmlns="bca0bc44-19d1-4824-98a4-321de56310bf" xsi:nil="true"/>
    <To xmlns="bca0bc44-19d1-4824-98a4-321de56310bf" xsi:nil="true"/>
    <RB_DMS_KM_GUID xmlns="http://schemas.microsoft.com/sharepoint/v3" xsi:nil="true"/>
    <Reply-To xmlns="bca0bc44-19d1-4824-98a4-321de56310bf" xsi:nil="true"/>
    <In-Reply-To xmlns="bca0bc44-19d1-4824-98a4-321de56310bf" xsi:nil="true"/>
    <MailPreviewData xmlns="bca0bc44-19d1-4824-98a4-321de56310bf" xsi:nil="true"/>
    <Historicalrelevance xmlns="6c5f60d6-849e-4e35-a930-5215842d20d1">No</Historicalrelevance>
    <ASC xmlns="6c5f60d6-849e-4e35-a930-5215842d20d1">1</ASC>
    <b6f78d8ccc17487a83f94c433163f47c xmlns="6c5f60d6-849e-4e35-a930-5215842d20d1">
      <Terms xmlns="http://schemas.microsoft.com/office/infopath/2007/PartnerControls"/>
    </b6f78d8ccc17487a83f94c433163f47c>
    <CSC xmlns="6c5f60d6-849e-4e35-a930-5215842d20d1">1</CSC>
    <Date1 xmlns="bca0bc44-19d1-4824-98a4-321de56310bf" xsi:nil="true"/>
    <Attachment xmlns="bca0bc44-19d1-4824-98a4-321de56310bf">true</Attachment>
    <References xmlns="bca0bc44-19d1-4824-98a4-321de56310bf" xsi:nil="true"/>
    <Cc xmlns="bca0bc44-19d1-4824-98a4-321de56310bf" xsi:nil="true"/>
    <Message-ID xmlns="bca0bc44-19d1-4824-98a4-321de56310bf" xsi:nil="true"/>
    <TaxCatchAll xmlns="6c5f60d6-849e-4e35-a930-5215842d20d1"/>
    <OriginalSubject xmlns="bca0bc44-19d1-4824-98a4-321de56310bf" xsi:nil="true"/>
    <From1 xmlns="bca0bc44-19d1-4824-98a4-321de56310bf" xsi:nil="true"/>
    <_dlc_DocId xmlns="6c5f60d6-849e-4e35-a930-5215842d20d1">P01S075991-1560635257-6991</_dlc_DocId>
    <_dlc_DocIdUrl xmlns="6c5f60d6-849e-4e35-a930-5215842d20d1">
      <Url>https://sites.inside-share.bosch.com/sites/075991/_layouts/15/DocIdRedir.aspx?ID=P01S075991-1560635257-6991</Url>
      <Description>P01S075991-1560635257-6991</Description>
    </_dlc_DocIdUrl>
    <ILMItemType xmlns="6c5f60d6-849e-4e35-a930-5215842d20d1">ConceptualItem</ILMItemType>
    <Revisions xmlns="6c5f60d6-849e-4e35-a930-5215842d20d1">
      <Url xsi:nil="true"/>
      <Description xsi:nil="true"/>
    </Revisions>
    <ILMCreationRevision xmlns="6c5f60d6-849e-4e35-a930-5215842d20d1">false</ILMCreationRevision>
    <LockedStatus xmlns="6c5f60d6-849e-4e35-a930-5215842d20d1">Unlocked</LockedStatus>
    <IlmBasedOn xmlns="6c5f60d6-849e-4e35-a930-5215842d20d1" xsi:nil="true"/>
    <_vti_ItemDeclaredRecord xmlns="http://schemas.microsoft.com/sharepoint/v3" xsi:nil="true"/>
    <_vti_ItemHoldRecordStatu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ILMBoschDocument" ma:contentTypeID="0x010100B25120C37407904ABD6388840EA464FE0100EDE17DFC6F02014BBB7CD755E18E0D8D" ma:contentTypeVersion="35" ma:contentTypeDescription="Bosch Document Content Type for ILM" ma:contentTypeScope="" ma:versionID="bdbf213f6d0af8eb343a56a9286d70eb">
  <xsd:schema xmlns:xsd="http://www.w3.org/2001/XMLSchema" xmlns:xs="http://www.w3.org/2001/XMLSchema" xmlns:p="http://schemas.microsoft.com/office/2006/metadata/properties" xmlns:ns1="http://schemas.microsoft.com/sharepoint/v3" xmlns:ns2="6c5f60d6-849e-4e35-a930-5215842d20d1" xmlns:ns3="http://schemas.microsoft.com/sharepoint/v4" xmlns:ns4="bca0bc44-19d1-4824-98a4-321de56310bf" targetNamespace="http://schemas.microsoft.com/office/2006/metadata/properties" ma:root="true" ma:fieldsID="4b422fc5fb60269a0d36d6055a908088" ns1:_="" ns2:_="" ns3:_="" ns4:_="">
    <xsd:import namespace="http://schemas.microsoft.com/sharepoint/v3"/>
    <xsd:import namespace="6c5f60d6-849e-4e35-a930-5215842d20d1"/>
    <xsd:import namespace="http://schemas.microsoft.com/sharepoint/v4"/>
    <xsd:import namespace="bca0bc44-19d1-4824-98a4-321de56310b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b6f78d8ccc17487a83f94c433163f47c" minOccurs="0"/>
                <xsd:element ref="ns2:TaxCatchAll" minOccurs="0"/>
                <xsd:element ref="ns2:TaxCatchAllLabel" minOccurs="0"/>
                <xsd:element ref="ns2:CSC"/>
                <xsd:element ref="ns2:ASC"/>
                <xsd:element ref="ns2:ISC"/>
                <xsd:element ref="ns2:ArchivingPeriod"/>
                <xsd:element ref="ns2:Safeguarding"/>
                <xsd:element ref="ns2:Historicalrelevance"/>
                <xsd:element ref="ns2:IlmBasedOn" minOccurs="0"/>
                <xsd:element ref="ns2:LockedStatus" minOccurs="0"/>
                <xsd:element ref="ns2:LockedBy" minOccurs="0"/>
                <xsd:element ref="ns2:ILMItemType" minOccurs="0"/>
                <xsd:element ref="ns2:ILMCreationRevision" minOccurs="0"/>
                <xsd:element ref="ns2:Revisions" minOccurs="0"/>
                <xsd:element ref="ns1:RB_DMS_KM_GUID" minOccurs="0"/>
                <xsd:element ref="ns1:RB_DMS_ORIG_NAME" minOccurs="0"/>
                <xsd:element ref="ns1:RB_DMS_SAP_METADATA" minOccurs="0"/>
                <xsd:element ref="ns3:IconOverlay" minOccurs="0"/>
                <xsd:element ref="ns1:_vti_ItemDeclaredRecord" minOccurs="0"/>
                <xsd:element ref="ns1:_vti_ItemHoldRecordStatus" minOccurs="0"/>
                <xsd:element ref="ns4:OriginalSubject" minOccurs="0"/>
                <xsd:element ref="ns4:From1" minOccurs="0"/>
                <xsd:element ref="ns4:Cc" minOccurs="0"/>
                <xsd:element ref="ns4:Bcc" minOccurs="0"/>
                <xsd:element ref="ns4:Conversation-Topic" minOccurs="0"/>
                <xsd:element ref="ns4:Date1" minOccurs="0"/>
                <xsd:element ref="ns4:Reply-To" minOccurs="0"/>
                <xsd:element ref="ns4:To" minOccurs="0"/>
                <xsd:element ref="ns4:Received" minOccurs="0"/>
                <xsd:element ref="ns4:Attachment" minOccurs="0"/>
                <xsd:element ref="ns4:Sensitivity" minOccurs="0"/>
                <xsd:element ref="ns4:Importance" minOccurs="0"/>
                <xsd:element ref="ns4:In-Reply-To" minOccurs="0"/>
                <xsd:element ref="ns4:References" minOccurs="0"/>
                <xsd:element ref="ns4:Conversation-Index" minOccurs="0"/>
                <xsd:element ref="ns4:MailPreviewData" minOccurs="0"/>
                <xsd:element ref="ns4:MessageClass" minOccurs="0"/>
                <xsd:element ref="ns4:Message-ID" minOccurs="0"/>
                <xsd:element ref="ns1:RB_DMS_MIG_HISTORY_FILE_GU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RB_DMS_KM_GUID" ma:index="27" nillable="true" ma:displayName="Old GUID" ma:internalName="RB_DMS_KM_GUID" ma:readOnly="false">
      <xsd:simpleType>
        <xsd:restriction base="dms:Text"/>
      </xsd:simpleType>
    </xsd:element>
    <xsd:element name="RB_DMS_ORIG_NAME" ma:index="28" nillable="true" ma:displayName="Original Name" ma:internalName="RB_DMS_ORIG_NAME" ma:readOnly="false">
      <xsd:simpleType>
        <xsd:restriction base="dms:Text"/>
      </xsd:simpleType>
    </xsd:element>
    <xsd:element name="RB_DMS_SAP_METADATA" ma:index="29" nillable="true" ma:displayName="ILM Metadata" ma:internalName="RB_DMS_SAP_METADATA" ma:readOnly="false">
      <xsd:simpleType>
        <xsd:restriction base="dms:Note"/>
      </xsd:simpleType>
    </xsd:element>
    <xsd:element name="_vti_ItemDeclaredRecord" ma:index="31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32" nillable="true" ma:displayName="Hold and Record Status" ma:decimals="0" ma:hidden="true" ma:internalName="_vti_ItemHoldRecordStatus" ma:readOnly="true">
      <xsd:simpleType>
        <xsd:restriction base="dms:Unknown"/>
      </xsd:simpleType>
    </xsd:element>
    <xsd:element name="RB_DMS_MIG_HISTORY_FILE_GUID" ma:index="51" nillable="true" ma:displayName="History File GUID" ma:internalName="RB_DMS_MIG_HISTORY_FILE_GUID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5f60d6-849e-4e35-a930-5215842d20d1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b6f78d8ccc17487a83f94c433163f47c" ma:index="11" nillable="true" ma:taxonomy="true" ma:internalName="b6f78d8ccc17487a83f94c433163f47c" ma:taxonomyFieldName="DMSKeywords" ma:displayName="Keywords" ma:fieldId="{b6f78d8c-cc17-487a-83f9-4c433163f47c}" ma:sspId="b81b984e-7d9a-4f77-a40b-67f8485df2c3" ma:termSetId="6ee5d250-6274-420b-9673-5a69a8147414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20928fd2-e092-4cfc-bfb0-740629477520}" ma:internalName="TaxCatchAll" ma:showField="CatchAllData" ma:web="6c5f60d6-849e-4e35-a930-5215842d20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20928fd2-e092-4cfc-bfb0-740629477520}" ma:internalName="TaxCatchAllLabel" ma:readOnly="true" ma:showField="CatchAllDataLabel" ma:web="6c5f60d6-849e-4e35-a930-5215842d20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SC" ma:index="15" ma:displayName="C-SC" ma:default="1" ma:description="Security Class for Confidentiality" ma:format="Dropdown" ma:indexed="true" ma:internalName="CSC" ma:readOnly="false">
      <xsd:simpleType>
        <xsd:restriction base="dms:Choice">
          <xsd:enumeration value="0"/>
          <xsd:enumeration value="1"/>
          <xsd:enumeration value="2"/>
          <xsd:enumeration value="3"/>
        </xsd:restriction>
      </xsd:simpleType>
    </xsd:element>
    <xsd:element name="ASC" ma:index="16" ma:displayName="A-SC" ma:default="1" ma:description="Security Class for Availability" ma:format="Dropdown" ma:hidden="true" ma:indexed="true" ma:internalName="ASC" ma:readOnly="false">
      <xsd:simpleType>
        <xsd:restriction base="dms:Choice">
          <xsd:enumeration value="0"/>
          <xsd:enumeration value="1"/>
          <xsd:enumeration value="2"/>
          <xsd:enumeration value="3"/>
        </xsd:restriction>
      </xsd:simpleType>
    </xsd:element>
    <xsd:element name="ISC" ma:index="17" ma:displayName="I-SC" ma:default="1" ma:description="Security Class for Integrity" ma:format="Dropdown" ma:hidden="true" ma:internalName="ISC" ma:readOnly="false">
      <xsd:simpleType>
        <xsd:restriction base="dms:Choice">
          <xsd:enumeration value="0"/>
          <xsd:enumeration value="1"/>
          <xsd:enumeration value="2"/>
          <xsd:enumeration value="3"/>
        </xsd:restriction>
      </xsd:simpleType>
    </xsd:element>
    <xsd:element name="ArchivingPeriod" ma:index="18" ma:displayName="Archiving Period (in years)" ma:description="File will be deleted from the archive after end of the archiving" ma:format="Dropdown" ma:indexed="true" ma:internalName="ArchivingPeriod" ma:readOnly="false">
      <xsd:simpleType>
        <xsd:union memberTypes="dms:Text">
          <xsd:simpleType>
            <xsd:restriction base="dms:Choice">
              <xsd:enumeration value="1"/>
              <xsd:enumeration value="3"/>
              <xsd:enumeration value="6"/>
              <xsd:enumeration value="10"/>
              <xsd:enumeration value="15"/>
              <xsd:enumeration value="35"/>
              <xsd:enumeration value="Delete when archiving"/>
              <xsd:enumeration value="infinite"/>
            </xsd:restriction>
          </xsd:simpleType>
        </xsd:union>
      </xsd:simpleType>
    </xsd:element>
    <xsd:element name="Safeguarding" ma:index="19" ma:displayName="Safeguarding" ma:default="No" ma:description="Special safeguarding requirements" ma:format="Dropdown" ma:hidden="true" ma:internalName="Safeguarding" ma:readOnly="false">
      <xsd:simpleType>
        <xsd:restriction base="dms:Choice">
          <xsd:enumeration value="Yes"/>
          <xsd:enumeration value="No"/>
        </xsd:restriction>
      </xsd:simpleType>
    </xsd:element>
    <xsd:element name="Historicalrelevance" ma:index="20" ma:displayName="Historical relevance" ma:default="No" ma:description="Handover to C/CCH" ma:format="Dropdown" ma:internalName="Historicalrelevance" ma:readOnly="false">
      <xsd:simpleType>
        <xsd:restriction base="dms:Choice">
          <xsd:enumeration value="Yes"/>
          <xsd:enumeration value="No"/>
        </xsd:restriction>
      </xsd:simpleType>
    </xsd:element>
    <xsd:element name="IlmBasedOn" ma:index="21" nillable="true" ma:displayName="Based on" ma:internalName="IlmBasedOn" ma:readOnly="true">
      <xsd:simpleType>
        <xsd:restriction base="dms:Text"/>
      </xsd:simpleType>
    </xsd:element>
    <xsd:element name="LockedStatus" ma:index="22" nillable="true" ma:displayName="Locked Status" ma:default="Unlocked" ma:internalName="LockedStatus" ma:readOnly="true">
      <xsd:simpleType>
        <xsd:restriction base="dms:Text"/>
      </xsd:simpleType>
    </xsd:element>
    <xsd:element name="LockedBy" ma:index="23" nillable="true" ma:displayName="Locked By" ma:internalName="Locked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LMItemType" ma:index="24" nillable="true" ma:displayName="ILMItemType" ma:default="ConceptualItem" ma:internalName="ILMItemType" ma:readOnly="true">
      <xsd:simpleType>
        <xsd:restriction base="dms:Text"/>
      </xsd:simpleType>
    </xsd:element>
    <xsd:element name="ILMCreationRevision" ma:index="25" nillable="true" ma:displayName="Creating Revision" ma:internalName="ILMCreationRevision" ma:readOnly="true">
      <xsd:simpleType>
        <xsd:restriction base="dms:Boolean"/>
      </xsd:simpleType>
    </xsd:element>
    <xsd:element name="Revisions" ma:index="26" nillable="true" ma:displayName="Revision set" ma:internalName="Revisions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0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a0bc44-19d1-4824-98a4-321de56310bf" elementFormDefault="qualified">
    <xsd:import namespace="http://schemas.microsoft.com/office/2006/documentManagement/types"/>
    <xsd:import namespace="http://schemas.microsoft.com/office/infopath/2007/PartnerControls"/>
    <xsd:element name="OriginalSubject" ma:index="33" nillable="true" ma:displayName="OriginalSubject" ma:internalName="OriginalSubject">
      <xsd:simpleType>
        <xsd:restriction base="dms:Text">
          <xsd:maxLength value="255"/>
        </xsd:restriction>
      </xsd:simpleType>
    </xsd:element>
    <xsd:element name="From1" ma:index="34" nillable="true" ma:displayName="From" ma:internalName="From1">
      <xsd:simpleType>
        <xsd:restriction base="dms:Text">
          <xsd:maxLength value="255"/>
        </xsd:restriction>
      </xsd:simpleType>
    </xsd:element>
    <xsd:element name="Cc" ma:index="35" nillable="true" ma:displayName="Cc" ma:internalName="Cc">
      <xsd:simpleType>
        <xsd:restriction base="dms:Note">
          <xsd:maxLength value="255"/>
        </xsd:restriction>
      </xsd:simpleType>
    </xsd:element>
    <xsd:element name="Bcc" ma:index="36" nillable="true" ma:displayName="Bcc" ma:internalName="Bcc">
      <xsd:simpleType>
        <xsd:restriction base="dms:Note">
          <xsd:maxLength value="255"/>
        </xsd:restriction>
      </xsd:simpleType>
    </xsd:element>
    <xsd:element name="Conversation-Topic" ma:index="37" nillable="true" ma:displayName="Conversation-Topic" ma:internalName="Conversation_x002d_Topic">
      <xsd:simpleType>
        <xsd:restriction base="dms:Text">
          <xsd:maxLength value="255"/>
        </xsd:restriction>
      </xsd:simpleType>
    </xsd:element>
    <xsd:element name="Date1" ma:index="38" nillable="true" ma:displayName="Date" ma:format="DateOnly" ma:internalName="Date1">
      <xsd:simpleType>
        <xsd:restriction base="dms:DateTime"/>
      </xsd:simpleType>
    </xsd:element>
    <xsd:element name="Reply-To" ma:index="39" nillable="true" ma:displayName="Reply-To" ma:internalName="Reply_x002d_To">
      <xsd:simpleType>
        <xsd:restriction base="dms:Text">
          <xsd:maxLength value="255"/>
        </xsd:restriction>
      </xsd:simpleType>
    </xsd:element>
    <xsd:element name="To" ma:index="40" nillable="true" ma:displayName="To" ma:internalName="To">
      <xsd:simpleType>
        <xsd:restriction base="dms:Note">
          <xsd:maxLength value="255"/>
        </xsd:restriction>
      </xsd:simpleType>
    </xsd:element>
    <xsd:element name="Received" ma:index="41" nillable="true" ma:displayName="Received" ma:internalName="Received">
      <xsd:simpleType>
        <xsd:restriction base="dms:Text">
          <xsd:maxLength value="255"/>
        </xsd:restriction>
      </xsd:simpleType>
    </xsd:element>
    <xsd:element name="Attachment" ma:index="42" nillable="true" ma:displayName="Attachment" ma:default="1" ma:internalName="Attachment">
      <xsd:simpleType>
        <xsd:restriction base="dms:Boolean"/>
      </xsd:simpleType>
    </xsd:element>
    <xsd:element name="Sensitivity" ma:index="43" nillable="true" ma:displayName="Sensitivity" ma:internalName="Sensitivity">
      <xsd:simpleType>
        <xsd:restriction base="dms:Text">
          <xsd:maxLength value="255"/>
        </xsd:restriction>
      </xsd:simpleType>
    </xsd:element>
    <xsd:element name="Importance" ma:index="44" nillable="true" ma:displayName="Importance" ma:internalName="Importance">
      <xsd:simpleType>
        <xsd:restriction base="dms:Text">
          <xsd:maxLength value="255"/>
        </xsd:restriction>
      </xsd:simpleType>
    </xsd:element>
    <xsd:element name="In-Reply-To" ma:index="45" nillable="true" ma:displayName="In-Reply-To" ma:internalName="In_x002d_Reply_x002d_To">
      <xsd:simpleType>
        <xsd:restriction base="dms:Text">
          <xsd:maxLength value="255"/>
        </xsd:restriction>
      </xsd:simpleType>
    </xsd:element>
    <xsd:element name="References" ma:index="46" nillable="true" ma:displayName="References" ma:internalName="References">
      <xsd:simpleType>
        <xsd:restriction base="dms:Text">
          <xsd:maxLength value="255"/>
        </xsd:restriction>
      </xsd:simpleType>
    </xsd:element>
    <xsd:element name="Conversation-Index" ma:index="47" nillable="true" ma:displayName="Conversation-Index" ma:internalName="Conversation_x002d_Index" ma:readOnly="false">
      <xsd:simpleType>
        <xsd:restriction base="dms:Text">
          <xsd:maxLength value="255"/>
        </xsd:restriction>
      </xsd:simpleType>
    </xsd:element>
    <xsd:element name="MailPreviewData" ma:index="48" nillable="true" ma:displayName="MailPreviewData" ma:internalName="MailPreviewData" ma:readOnly="false">
      <xsd:simpleType>
        <xsd:restriction base="dms:Note"/>
      </xsd:simpleType>
    </xsd:element>
    <xsd:element name="MessageClass" ma:index="49" nillable="true" ma:displayName="MessageClass" ma:internalName="MessageClass" ma:readOnly="false">
      <xsd:simpleType>
        <xsd:restriction base="dms:Text">
          <xsd:maxLength value="255"/>
        </xsd:restriction>
      </xsd:simpleType>
    </xsd:element>
    <xsd:element name="Message-ID" ma:index="50" nillable="true" ma:displayName="Message-ID" ma:internalName="Message_x002d_ID" ma:readOnly="fals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47EA19-AB87-400D-8B3E-9F72FF0FDA24}">
  <ds:schemaRefs>
    <ds:schemaRef ds:uri="http://schemas.microsoft.com/office/2006/metadata/properties"/>
    <ds:schemaRef ds:uri="http://schemas.microsoft.com/office/infopath/2007/PartnerControls"/>
    <ds:schemaRef ds:uri="6c5f60d6-849e-4e35-a930-5215842d20d1"/>
    <ds:schemaRef ds:uri="bca0bc44-19d1-4824-98a4-321de56310bf"/>
    <ds:schemaRef ds:uri="http://schemas.microsoft.com/sharepoint/v3"/>
    <ds:schemaRef ds:uri="http://schemas.microsoft.com/sharepoint/v4"/>
  </ds:schemaRefs>
</ds:datastoreItem>
</file>

<file path=customXml/itemProps2.xml><?xml version="1.0" encoding="utf-8"?>
<ds:datastoreItem xmlns:ds="http://schemas.openxmlformats.org/officeDocument/2006/customXml" ds:itemID="{4920901D-2F00-4A71-9A89-5160288EE2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614936-06FA-4DCC-A674-D09D38708F80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E2E2B1EF-91F5-4B8A-883A-6176483850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c5f60d6-849e-4e35-a930-5215842d20d1"/>
    <ds:schemaRef ds:uri="http://schemas.microsoft.com/sharepoint/v4"/>
    <ds:schemaRef ds:uri="bca0bc44-19d1-4824-98a4-321de56310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CommProtocols</vt:lpstr>
      <vt:lpstr>FunctionSysInt</vt:lpstr>
      <vt:lpstr>NetworkL2SysTest</vt:lpstr>
      <vt:lpstr>TrSignSimConcept</vt:lpstr>
      <vt:lpstr>TrSignSimPanel</vt:lpstr>
      <vt:lpstr>SysIntCatalog</vt:lpstr>
      <vt:lpstr>AEB sysint</vt:lpstr>
    </vt:vector>
  </TitlesOfParts>
  <Manager/>
  <Company>BOSCH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Herrera Rafael (CC-DA/EAY2)</dc:creator>
  <cp:keywords/>
  <dc:description/>
  <cp:lastModifiedBy>Herrera Rafael (XC-DA/EDI2)</cp:lastModifiedBy>
  <cp:revision/>
  <dcterms:created xsi:type="dcterms:W3CDTF">2019-12-11T13:19:01Z</dcterms:created>
  <dcterms:modified xsi:type="dcterms:W3CDTF">2022-10-07T10:03:02Z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0x010100B25120C37407904ABD6388840EA464FE0100EDE17DFC6F02014BBB7CD755E18E0D8D</vt:lpwstr>
  </property>
  <property fmtid="{D5CDD505-2E9C-101B-9397-08002B2CF9AE}" pid="3" name="_dlc_DocIdItemGuid">
    <vt:lpwstr>9644ab6d-3e40-425d-ab67-9f6c93887cb9</vt:lpwstr>
  </property>
  <property fmtid="{D5CDD505-2E9C-101B-9397-08002B2CF9AE}" pid="4" name="DMSKeywords">
    <vt:lpwstr/>
  </property>
  <property fmtid="{D5CDD505-2E9C-101B-9397-08002B2CF9AE}" pid="5" name="ecm_ItemDeleteBlockHolders">
    <vt:lpwstr/>
  </property>
  <property fmtid="{D5CDD505-2E9C-101B-9397-08002B2CF9AE}" pid="6" name="ecm_RecordRestrictions">
    <vt:lpwstr/>
  </property>
  <property fmtid="{D5CDD505-2E9C-101B-9397-08002B2CF9AE}" pid="7" name="ecm_ItemLockHolders">
    <vt:lpwstr/>
  </property>
</Properties>
</file>