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RBS\_IF_Dev\Bela\Ford\adas_hil\Platform\Classe\"/>
    </mc:Choice>
  </mc:AlternateContent>
  <xr:revisionPtr revIDLastSave="0" documentId="13_ncr:1_{B7D7D8A5-F6BD-4221-80CE-4BB934AE18CB}" xr6:coauthVersionLast="47" xr6:coauthVersionMax="47" xr10:uidLastSave="{00000000-0000-0000-0000-000000000000}"/>
  <bookViews>
    <workbookView xWindow="-120" yWindow="-120" windowWidth="29040" windowHeight="15840" xr2:uid="{FD3014D7-C349-4309-8677-2343657C9B1F}"/>
  </bookViews>
  <sheets>
    <sheet name="Wheel and WIC" sheetId="1" r:id="rId1"/>
    <sheet name="ABS sensor whe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8" i="1" s="1"/>
  <c r="L29" i="1" s="1"/>
</calcChain>
</file>

<file path=xl/sharedStrings.xml><?xml version="1.0" encoding="utf-8"?>
<sst xmlns="http://schemas.openxmlformats.org/spreadsheetml/2006/main" count="19" uniqueCount="17">
  <si>
    <t>Inner diameter (inch)</t>
  </si>
  <si>
    <t>Tire width (mm)</t>
  </si>
  <si>
    <t>Input</t>
  </si>
  <si>
    <t>Output</t>
  </si>
  <si>
    <t>Wheel diameter (mm)</t>
  </si>
  <si>
    <t>Nbr of "tooth" on ABS Gear Wheel</t>
  </si>
  <si>
    <t>Impulse length (mm)</t>
  </si>
  <si>
    <t>Wheel circumference  (mm)</t>
  </si>
  <si>
    <t>Aspect ratio (%)</t>
  </si>
  <si>
    <t>FORD</t>
  </si>
  <si>
    <t>Nbr of "teeth" on ABS wheel</t>
  </si>
  <si>
    <t>ABS wheel type</t>
  </si>
  <si>
    <t>YSPABS-027</t>
  </si>
  <si>
    <t>Unknown</t>
  </si>
  <si>
    <t>Customer</t>
  </si>
  <si>
    <t>Variant</t>
  </si>
  <si>
    <t>2021 Ford F-Series F-150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</si>
</sst>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4" borderId="1" xfId="0" applyFill="1" applyBorder="1"/>
    <xf numFmtId="0" fontId="1" fillId="0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5" borderId="0" xfId="0" applyFill="1"/>
    <xf numFmtId="0" fontId="0" fillId="6" borderId="0" xfId="0" applyFill="1"/>
    <xf numFmtId="0" fontId="1" fillId="7" borderId="1" xfId="0" applyFont="1" applyFill="1" applyBorder="1"/>
    <xf numFmtId="0" fontId="0" fillId="0" borderId="1" xfId="0" applyBorder="1" applyAlignment="1">
      <alignment horizontal="center"/>
    </xf>
    <xf numFmtId="0" fontId="2" fillId="5" borderId="2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19051</xdr:rowOff>
    </xdr:from>
    <xdr:to>
      <xdr:col>8</xdr:col>
      <xdr:colOff>314325</xdr:colOff>
      <xdr:row>11</xdr:row>
      <xdr:rowOff>13927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23EDC-186D-45DF-983E-C2B01347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80976"/>
          <a:ext cx="4552950" cy="161412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152401</xdr:colOff>
      <xdr:row>2</xdr:row>
      <xdr:rowOff>133349</xdr:rowOff>
    </xdr:from>
    <xdr:to>
      <xdr:col>4</xdr:col>
      <xdr:colOff>180976</xdr:colOff>
      <xdr:row>4</xdr:row>
      <xdr:rowOff>133349</xdr:rowOff>
    </xdr:to>
    <xdr:sp macro="" textlink="$K$5">
      <xdr:nvSpPr>
        <xdr:cNvPr id="4" name="TextBox 3">
          <a:extLst>
            <a:ext uri="{FF2B5EF4-FFF2-40B4-BE49-F238E27FC236}">
              <a16:creationId xmlns:a16="http://schemas.microsoft.com/office/drawing/2014/main" id="{69D617F6-E0AE-482D-B599-7E1779AE9010}"/>
            </a:ext>
          </a:extLst>
        </xdr:cNvPr>
        <xdr:cNvSpPr txBox="1"/>
      </xdr:nvSpPr>
      <xdr:spPr>
        <a:xfrm rot="20459579">
          <a:off x="1657351" y="457199"/>
          <a:ext cx="638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6C47274-774B-43CB-93C2-FC618590D4AF}" type="TxLink">
            <a:rPr lang="en-US" sz="20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70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190503</xdr:colOff>
      <xdr:row>4</xdr:row>
      <xdr:rowOff>95249</xdr:rowOff>
    </xdr:from>
    <xdr:to>
      <xdr:col>3</xdr:col>
      <xdr:colOff>219078</xdr:colOff>
      <xdr:row>6</xdr:row>
      <xdr:rowOff>95249</xdr:rowOff>
    </xdr:to>
    <xdr:sp macro="" textlink="$K$4">
      <xdr:nvSpPr>
        <xdr:cNvPr id="5" name="TextBox 4">
          <a:extLst>
            <a:ext uri="{FF2B5EF4-FFF2-40B4-BE49-F238E27FC236}">
              <a16:creationId xmlns:a16="http://schemas.microsoft.com/office/drawing/2014/main" id="{7307F7B6-79F7-4026-A55A-69EF629B21BF}"/>
            </a:ext>
          </a:extLst>
        </xdr:cNvPr>
        <xdr:cNvSpPr txBox="1"/>
      </xdr:nvSpPr>
      <xdr:spPr>
        <a:xfrm rot="19535757">
          <a:off x="1085853" y="742949"/>
          <a:ext cx="638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25DE9E-48DD-4D08-93C3-3F752AC67013}" type="TxLink">
            <a:rPr lang="en-US" sz="20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245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523878</xdr:colOff>
      <xdr:row>2</xdr:row>
      <xdr:rowOff>85724</xdr:rowOff>
    </xdr:from>
    <xdr:to>
      <xdr:col>5</xdr:col>
      <xdr:colOff>552453</xdr:colOff>
      <xdr:row>4</xdr:row>
      <xdr:rowOff>85724</xdr:rowOff>
    </xdr:to>
    <xdr:sp macro="" textlink="$K$6">
      <xdr:nvSpPr>
        <xdr:cNvPr id="6" name="TextBox 5">
          <a:extLst>
            <a:ext uri="{FF2B5EF4-FFF2-40B4-BE49-F238E27FC236}">
              <a16:creationId xmlns:a16="http://schemas.microsoft.com/office/drawing/2014/main" id="{1D97ADC6-BEE1-4E33-8708-D56EC00DE0EE}"/>
            </a:ext>
          </a:extLst>
        </xdr:cNvPr>
        <xdr:cNvSpPr txBox="1"/>
      </xdr:nvSpPr>
      <xdr:spPr>
        <a:xfrm rot="511805">
          <a:off x="2638428" y="409574"/>
          <a:ext cx="638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57ADDD-631E-4E7D-970E-9A24B9CEBDBD}" type="TxLink">
            <a:rPr lang="en-US" sz="2000" b="0" i="0" u="none" strike="noStrike">
              <a:solidFill>
                <a:schemeClr val="bg1"/>
              </a:solidFill>
              <a:latin typeface="Arial"/>
              <a:cs typeface="Arial"/>
            </a:rPr>
            <a:pPr/>
            <a:t>17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28575</xdr:colOff>
      <xdr:row>13</xdr:row>
      <xdr:rowOff>19051</xdr:rowOff>
    </xdr:from>
    <xdr:to>
      <xdr:col>6</xdr:col>
      <xdr:colOff>57150</xdr:colOff>
      <xdr:row>26</xdr:row>
      <xdr:rowOff>141410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45A789-EED3-4650-9CC5-9FDD75AD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24076"/>
          <a:ext cx="3076575" cy="22273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28576</xdr:colOff>
      <xdr:row>27</xdr:row>
      <xdr:rowOff>47625</xdr:rowOff>
    </xdr:from>
    <xdr:to>
      <xdr:col>4</xdr:col>
      <xdr:colOff>238126</xdr:colOff>
      <xdr:row>40</xdr:row>
      <xdr:rowOff>128498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A59DA1-7CC4-4CE6-A838-B54E6F923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4419600"/>
          <a:ext cx="2038350" cy="21858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490931</xdr:colOff>
      <xdr:row>38</xdr:row>
      <xdr:rowOff>114295</xdr:rowOff>
    </xdr:from>
    <xdr:to>
      <xdr:col>4</xdr:col>
      <xdr:colOff>33618</xdr:colOff>
      <xdr:row>40</xdr:row>
      <xdr:rowOff>90397</xdr:rowOff>
    </xdr:to>
    <xdr:sp macro="" textlink="$K$4">
      <xdr:nvSpPr>
        <xdr:cNvPr id="11" name="TextBox 10">
          <a:extLst>
            <a:ext uri="{FF2B5EF4-FFF2-40B4-BE49-F238E27FC236}">
              <a16:creationId xmlns:a16="http://schemas.microsoft.com/office/drawing/2014/main" id="{6E6C0DD7-E3C6-4570-9575-20D786F17469}"/>
            </a:ext>
          </a:extLst>
        </xdr:cNvPr>
        <xdr:cNvSpPr txBox="1"/>
      </xdr:nvSpPr>
      <xdr:spPr>
        <a:xfrm>
          <a:off x="1387402" y="6075824"/>
          <a:ext cx="752922" cy="2898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200">
              <a:solidFill>
                <a:sysClr val="windowText" lastClr="000000"/>
              </a:solidFill>
            </a:rPr>
            <a:t>Impulse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A6BF-8CB5-4B1A-99E0-9067D5C89DE0}">
  <dimension ref="A1:M49"/>
  <sheetViews>
    <sheetView tabSelected="1" zoomScaleNormal="100" workbookViewId="0">
      <selection activeCell="N1" sqref="N1"/>
    </sheetView>
  </sheetViews>
  <sheetFormatPr defaultRowHeight="12.75" x14ac:dyDescent="0.2"/>
  <cols>
    <col min="1" max="1" width="4.28515625" customWidth="1"/>
    <col min="10" max="10" width="32.7109375" bestFit="1" customWidth="1"/>
  </cols>
  <sheetData>
    <row r="1" spans="1:13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5" t="s">
        <v>2</v>
      </c>
      <c r="L3" s="6" t="s">
        <v>3</v>
      </c>
      <c r="M3" s="7"/>
    </row>
    <row r="4" spans="1:13" x14ac:dyDescent="0.2">
      <c r="A4" s="7"/>
      <c r="B4" s="7"/>
      <c r="C4" s="7"/>
      <c r="D4" s="7"/>
      <c r="E4" s="7"/>
      <c r="F4" s="7"/>
      <c r="G4" s="7"/>
      <c r="H4" s="7"/>
      <c r="I4" s="7"/>
      <c r="J4" s="2" t="s">
        <v>1</v>
      </c>
      <c r="K4" s="1">
        <v>245</v>
      </c>
      <c r="L4" s="3"/>
      <c r="M4" s="7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2" t="s">
        <v>8</v>
      </c>
      <c r="K5" s="1">
        <v>70</v>
      </c>
      <c r="L5" s="3"/>
      <c r="M5" s="7"/>
    </row>
    <row r="6" spans="1:13" x14ac:dyDescent="0.2">
      <c r="A6" s="7"/>
      <c r="B6" s="7"/>
      <c r="C6" s="7"/>
      <c r="D6" s="7"/>
      <c r="E6" s="7"/>
      <c r="F6" s="7"/>
      <c r="G6" s="7"/>
      <c r="H6" s="7"/>
      <c r="I6" s="7"/>
      <c r="J6" s="2" t="s">
        <v>0</v>
      </c>
      <c r="K6" s="1">
        <v>17</v>
      </c>
      <c r="L6" s="3"/>
      <c r="M6" s="7"/>
    </row>
    <row r="7" spans="1:13" x14ac:dyDescent="0.2">
      <c r="A7" s="7"/>
      <c r="B7" s="7"/>
      <c r="C7" s="7"/>
      <c r="D7" s="7"/>
      <c r="E7" s="7"/>
      <c r="F7" s="7"/>
      <c r="G7" s="7"/>
      <c r="H7" s="7"/>
      <c r="I7" s="7"/>
      <c r="J7" s="4" t="s">
        <v>4</v>
      </c>
      <c r="K7" s="3"/>
      <c r="L7" s="1">
        <f>(K6*25.4)+2*K4*(K5/100)</f>
        <v>774.8</v>
      </c>
      <c r="M7" s="7"/>
    </row>
    <row r="8" spans="1:13" x14ac:dyDescent="0.2">
      <c r="A8" s="7"/>
      <c r="B8" s="7"/>
      <c r="C8" s="7"/>
      <c r="D8" s="7"/>
      <c r="E8" s="7"/>
      <c r="F8" s="7"/>
      <c r="G8" s="7"/>
      <c r="H8" s="7"/>
      <c r="I8" s="7"/>
      <c r="J8" s="4" t="s">
        <v>7</v>
      </c>
      <c r="K8" s="3"/>
      <c r="L8" s="1">
        <f>L7*PI()</f>
        <v>2434.1059880013718</v>
      </c>
      <c r="M8" s="7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5" t="s">
        <v>2</v>
      </c>
      <c r="L27" s="6" t="s">
        <v>3</v>
      </c>
      <c r="M27" s="8"/>
    </row>
    <row r="28" spans="1:13" x14ac:dyDescent="0.2">
      <c r="A28" s="8"/>
      <c r="B28" s="8"/>
      <c r="C28" s="8"/>
      <c r="D28" s="8"/>
      <c r="E28" s="8"/>
      <c r="F28" s="8"/>
      <c r="G28" s="8"/>
      <c r="H28" s="8"/>
      <c r="I28" s="8"/>
      <c r="J28" s="2" t="s">
        <v>5</v>
      </c>
      <c r="K28" s="1">
        <v>100</v>
      </c>
      <c r="L28" s="3"/>
      <c r="M28" s="8"/>
    </row>
    <row r="29" spans="1:13" x14ac:dyDescent="0.2">
      <c r="A29" s="8"/>
      <c r="B29" s="8"/>
      <c r="C29" s="8"/>
      <c r="D29" s="8"/>
      <c r="E29" s="8"/>
      <c r="F29" s="8"/>
      <c r="G29" s="8"/>
      <c r="H29" s="8"/>
      <c r="I29" s="8"/>
      <c r="J29" s="2" t="s">
        <v>6</v>
      </c>
      <c r="K29" s="3"/>
      <c r="L29" s="1">
        <f>L8/K28</f>
        <v>24.341059880013717</v>
      </c>
      <c r="M29" s="8"/>
    </row>
    <row r="30" spans="1:13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61AB-8359-40CF-8DF9-19CC893E946E}">
  <dimension ref="A1:D2"/>
  <sheetViews>
    <sheetView workbookViewId="0">
      <selection activeCell="A3" sqref="A3"/>
    </sheetView>
  </sheetViews>
  <sheetFormatPr defaultRowHeight="12.75" x14ac:dyDescent="0.2"/>
  <cols>
    <col min="1" max="1" width="12.85546875" customWidth="1"/>
    <col min="2" max="2" width="25.140625" customWidth="1"/>
    <col min="3" max="3" width="15.5703125" bestFit="1" customWidth="1"/>
    <col min="4" max="4" width="27.28515625" bestFit="1" customWidth="1"/>
  </cols>
  <sheetData>
    <row r="1" spans="1:4" x14ac:dyDescent="0.2">
      <c r="A1" s="11" t="s">
        <v>14</v>
      </c>
      <c r="B1" s="11" t="s">
        <v>15</v>
      </c>
      <c r="C1" s="9" t="s">
        <v>11</v>
      </c>
      <c r="D1" s="9" t="s">
        <v>10</v>
      </c>
    </row>
    <row r="2" spans="1:4" x14ac:dyDescent="0.2">
      <c r="A2" s="4" t="s">
        <v>9</v>
      </c>
      <c r="B2" s="4" t="s">
        <v>16</v>
      </c>
      <c r="C2" s="1" t="s">
        <v>12</v>
      </c>
      <c r="D2" s="1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Wheel and WIC</vt:lpstr>
      <vt:lpstr>ABS sensor wheel</vt:lpstr>
    </vt:vector>
  </TitlesOfParts>
  <Company>Robert Bosch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Horvath Bela (XC-DA/EDA5-Bp)</dc:creator>
  <cp:lastModifiedBy>Horvath Bela (XC-DX/EET1-Bp)</cp:lastModifiedBy>
  <dcterms:created xsi:type="dcterms:W3CDTF">2022-10-21T09:10:13Z</dcterms:created>
  <dcterms:modified xsi:type="dcterms:W3CDTF">2022-10-24T09:03:26Z</dcterms:modified>
</cp:coreProperties>
</file>